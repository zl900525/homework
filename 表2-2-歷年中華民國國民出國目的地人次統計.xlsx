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filterPrivacy="1"/>
  <bookViews>
    <workbookView tabRatio="315" windowHeight="8010" windowWidth="14805" xWindow="240" yWindow="105"/>
  </bookViews>
  <sheets>
    <sheet name="歷年出國按目的地" r:id="rId1" sheetId="1"/>
  </sheets>
  <calcPr calcId="125725"/>
</workbook>
</file>

<file path=xl/sharedStrings.xml><?xml version="1.0" encoding="utf-8"?>
<sst xmlns="http://schemas.openxmlformats.org/spreadsheetml/2006/main" count="2027" uniqueCount="96">
  <si>
    <t>歷年中華民國國民出國人次按目的地統計
Outbound Departures of Nationals of the Republic of China by Destination</t>
    <phoneticPr fontId="3" type="noConversion"/>
  </si>
  <si>
    <t>首站抵達地
First Destination</t>
    <phoneticPr fontId="3" type="noConversion"/>
  </si>
  <si>
    <t>亞洲地區 ASIA</t>
    <phoneticPr fontId="3" type="noConversion"/>
  </si>
  <si>
    <t>美洲地區 AMERICA</t>
    <phoneticPr fontId="3" type="noConversion"/>
  </si>
  <si>
    <t>歐洲地區 EUROPE</t>
    <phoneticPr fontId="3" type="noConversion"/>
  </si>
  <si>
    <t>大洋洲 OCEANIA</t>
    <phoneticPr fontId="3" type="noConversion"/>
  </si>
  <si>
    <t>其他
 Others</t>
    <phoneticPr fontId="3" type="noConversion"/>
  </si>
  <si>
    <t>總計
 Grand Total</t>
    <phoneticPr fontId="3" type="noConversion"/>
  </si>
  <si>
    <t>香港
Hong Kong</t>
    <phoneticPr fontId="3" type="noConversion"/>
  </si>
  <si>
    <t>澳門 Macao</t>
  </si>
  <si>
    <t>大陸 Mainland China</t>
  </si>
  <si>
    <t>日本 
Japan</t>
    <phoneticPr fontId="3" type="noConversion"/>
  </si>
  <si>
    <t>韓國 Korea</t>
  </si>
  <si>
    <t>新加坡 Singapore</t>
  </si>
  <si>
    <t>馬來西亞 Malaysia</t>
  </si>
  <si>
    <t>泰國 Thailand</t>
  </si>
  <si>
    <t>菲律賓 Philippines</t>
  </si>
  <si>
    <t>印尼 Indonesia</t>
  </si>
  <si>
    <t>汶淶 Brunei</t>
  </si>
  <si>
    <t>越南 Vietnam</t>
  </si>
  <si>
    <t>緬甸 Myanmar</t>
  </si>
  <si>
    <t>柬埔寨 Cambodia</t>
    <phoneticPr fontId="3" type="noConversion"/>
  </si>
  <si>
    <t>阿拉伯聯合大公國 United Arab Emirates</t>
    <phoneticPr fontId="3" type="noConversion"/>
  </si>
  <si>
    <t>土耳其 Turkey</t>
    <phoneticPr fontId="3" type="noConversion"/>
  </si>
  <si>
    <t>亞洲其他地區 Others</t>
  </si>
  <si>
    <t>亞洲合計 Total</t>
  </si>
  <si>
    <t>美國 U.S.A.</t>
  </si>
  <si>
    <t>加拿大 Canada</t>
  </si>
  <si>
    <t>美洲其他地區 Others</t>
  </si>
  <si>
    <t>美洲合計 Total</t>
  </si>
  <si>
    <t>法國 France</t>
  </si>
  <si>
    <t>德國 Germany</t>
  </si>
  <si>
    <t>義大利 Italy</t>
  </si>
  <si>
    <t>荷蘭 Netherlands</t>
  </si>
  <si>
    <t>瑞士 Switzerland</t>
  </si>
  <si>
    <t>英國 U.K.</t>
  </si>
  <si>
    <t>奧地利 Austria</t>
  </si>
  <si>
    <t>歐洲其他地區 Others</t>
  </si>
  <si>
    <t>歐洲合計 Total</t>
  </si>
  <si>
    <t>澳大利亞 Australia</t>
  </si>
  <si>
    <t>紐西蘭
New Zealand</t>
    <phoneticPr fontId="3" type="noConversion"/>
  </si>
  <si>
    <t>帛琉 Palau</t>
  </si>
  <si>
    <t>大洋洲其他地區 Others</t>
  </si>
  <si>
    <t>大洋洲合計 Total</t>
  </si>
  <si>
    <t>南非 S.Africa</t>
  </si>
  <si>
    <t>非洲其他地區 Others</t>
  </si>
  <si>
    <t>非洲合計 Total</t>
  </si>
  <si>
    <t>非洲 Africa</t>
    <phoneticPr fontId="3" type="noConversion"/>
  </si>
  <si>
    <t/>
  </si>
  <si>
    <t>104年2015</t>
  </si>
  <si>
    <t>84年1995</t>
  </si>
  <si>
    <t>72年1983</t>
  </si>
  <si>
    <t>92年2003</t>
  </si>
  <si>
    <t>105年2016</t>
  </si>
  <si>
    <t>85年1996</t>
  </si>
  <si>
    <t>73年1984</t>
  </si>
  <si>
    <t>93年2004</t>
  </si>
  <si>
    <t>106年2017</t>
  </si>
  <si>
    <t>94年2005</t>
  </si>
  <si>
    <t>86年1997</t>
  </si>
  <si>
    <t>74年1985</t>
  </si>
  <si>
    <t>95年2006</t>
  </si>
  <si>
    <t>107年2018</t>
  </si>
  <si>
    <t>75年1986</t>
  </si>
  <si>
    <t>88年1999</t>
  </si>
  <si>
    <t>87年1998</t>
  </si>
  <si>
    <t>89年2000</t>
  </si>
  <si>
    <t>108年2019</t>
  </si>
  <si>
    <t>76年1987</t>
  </si>
  <si>
    <t>90年2001</t>
  </si>
  <si>
    <t>80年1991</t>
  </si>
  <si>
    <t>109年2020</t>
  </si>
  <si>
    <t>91年2002</t>
  </si>
  <si>
    <t>77年1988</t>
  </si>
  <si>
    <t>110年2021</t>
  </si>
  <si>
    <t>69年1980</t>
  </si>
  <si>
    <t>81年1992</t>
  </si>
  <si>
    <t>70年1981</t>
  </si>
  <si>
    <t>111年2022</t>
  </si>
  <si>
    <t>78年1989</t>
  </si>
  <si>
    <t>82年1993</t>
  </si>
  <si>
    <t>71年1982</t>
  </si>
  <si>
    <t>79年1990</t>
  </si>
  <si>
    <t>100年2011</t>
  </si>
  <si>
    <t>83年1994</t>
  </si>
  <si>
    <t>112年2023</t>
  </si>
  <si>
    <t>113年2024</t>
  </si>
  <si>
    <t>96年2007</t>
  </si>
  <si>
    <t>101年2012</t>
  </si>
  <si>
    <t>97年2008</t>
  </si>
  <si>
    <t>114年2025</t>
  </si>
  <si>
    <t>102年2013</t>
  </si>
  <si>
    <t>98年2009</t>
  </si>
  <si>
    <t>103年2014</t>
  </si>
  <si>
    <t>99年2010</t>
  </si>
  <si>
    <t>註: 因國人出境數據以飛航到達首站為統計原則，另含不固定包機航程等因素，故國人赴各國實際數據請以各目的地國家官方公布入境數字為準。
資料來源：內政部移民署。
As departure destination data is based on an outgoing flight’s first stop, and is also affected by issues related to charter flights, please refer to official entry figures from destination countries for the most accurate data on flight destinations.</t>
  </si>
</sst>
</file>

<file path=xl/styles.xml><?xml version="1.0" encoding="utf-8"?>
<styleSheet xmlns="http://schemas.openxmlformats.org/spreadsheetml/2006/main">
  <numFmts count="1">
    <numFmt numFmtId="41" formatCode="_-* #,##0_-;\-* #,##0_-;_-* &quot;-&quot;_-;_-@_-"/>
  </numFmts>
  <fonts count="7">
    <font>
      <sz val="12"/>
      <color theme="1"/>
      <name val="新細明體"/>
      <family val="2"/>
      <scheme val="minor"/>
    </font>
    <font>
      <b/>
      <sz val="16"/>
      <name val="標楷體"/>
      <family val="4"/>
      <charset val="136"/>
    </font>
    <font>
      <sz val="9"/>
      <name val="新細明體"/>
      <family val="3"/>
      <charset val="136"/>
      <scheme val="minor"/>
    </font>
    <font>
      <sz val="9"/>
      <name val="新細明體"/>
      <family val="1"/>
      <charset val="136"/>
    </font>
    <font>
      <b/>
      <sz val="10"/>
      <name val="新細明體"/>
      <family val="1"/>
      <charset val="136"/>
    </font>
    <font>
      <sz val="10"/>
      <name val="新細明體"/>
      <family val="1"/>
      <charset val="136"/>
    </font>
    <font>
      <name val="新細明體"/>
      <sz val="9.0"/>
      <color indexed="8"/>
      <u val="none"/>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borderId="0" fillId="0" fontId="0" numFmtId="0"/>
  </cellStyleXfs>
  <cellXfs count="13">
    <xf borderId="0" fillId="0" fontId="0" numFmtId="0" xfId="0"/>
    <xf applyAlignment="1" applyFont="1" borderId="0" fillId="0" fontId="1" numFmtId="0" xfId="0">
      <alignment horizontal="centerContinuous" vertical="center" wrapText="1"/>
    </xf>
    <xf applyAlignment="1" applyFont="1" borderId="0" fillId="0" fontId="1" numFmtId="0" xfId="0">
      <alignment horizontal="centerContinuous" vertical="center"/>
    </xf>
    <xf applyAlignment="1" applyBorder="1" applyFont="1" borderId="2" fillId="0" fontId="4" numFmtId="0" xfId="0">
      <alignment horizontal="centerContinuous" vertical="center"/>
    </xf>
    <xf applyAlignment="1" applyBorder="1" applyFont="1" borderId="3" fillId="0" fontId="4" numFmtId="0" xfId="0">
      <alignment horizontal="centerContinuous" vertical="center"/>
    </xf>
    <xf applyAlignment="1" applyBorder="1" applyFont="1" borderId="4" fillId="0" fontId="4" numFmtId="0" xfId="0">
      <alignment horizontal="centerContinuous" vertical="center"/>
    </xf>
    <xf applyAlignment="1" applyBorder="1" applyFont="1" borderId="6" fillId="0" fontId="5" numFmtId="0" xfId="0">
      <alignment horizontal="center" vertical="center" wrapText="1"/>
    </xf>
    <xf applyAlignment="1" applyBorder="1" applyFont="1" borderId="1" fillId="0" fontId="4" numFmtId="0" xfId="0">
      <alignment horizontal="center" vertical="center" wrapText="1"/>
    </xf>
    <xf applyAlignment="1" applyBorder="1" borderId="5" fillId="0" fontId="0" numFmtId="0" xfId="0">
      <alignment horizontal="center" vertical="center" wrapText="1"/>
    </xf>
    <xf applyAlignment="1" applyFont="1" borderId="0" fillId="0" fontId="5" numFmtId="0" xfId="0">
      <alignment horizontal="center" vertical="center"/>
    </xf>
    <xf applyFont="1" applyNumberFormat="1" borderId="0" fillId="0" fontId="5" numFmtId="41" xfId="0"/>
    <xf applyAlignment="1" borderId="0" fillId="0" fontId="0" numFmtId="0" xfId="0">
      <alignment horizontal="center"/>
    </xf>
    <xf numFmtId="0" fontId="6" fillId="0" borderId="0" xfId="0" applyFont="true">
      <alignment wrapText="true" vertical="top" horizontal="left"/>
    </xf>
  </cellXfs>
  <cellStyles count="1">
    <cellStyle builtinId="0" name="一般" xf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a="http://schemas.openxmlformats.org/drawingml/2006/main" xmlns:xdr="http://schemas.openxmlformats.org/drawingml/2006/spreadsheetDrawing">
  <xdr:twoCellAnchor>
    <xdr:from>
      <xdr:col>40</xdr:col>
      <xdr:colOff>567690</xdr:colOff>
      <xdr:row>0</xdr:row>
      <xdr:rowOff>135255</xdr:rowOff>
    </xdr:from>
    <xdr:to>
      <xdr:col>41</xdr:col>
      <xdr:colOff>623023</xdr:colOff>
      <xdr:row>0</xdr:row>
      <xdr:rowOff>497205</xdr:rowOff>
    </xdr:to>
    <xdr:sp macro="" textlink="">
      <xdr:nvSpPr>
        <xdr:cNvPr id="2" name="Text Box 1"/>
        <xdr:cNvSpPr txBox="1">
          <a:spLocks noChangeArrowheads="1"/>
        </xdr:cNvSpPr>
      </xdr:nvSpPr>
      <xdr:spPr bwMode="auto">
        <a:xfrm>
          <a:off x="26875740" y="135255"/>
          <a:ext cx="845908" cy="361950"/>
        </a:xfrm>
        <a:prstGeom prst="rect">
          <a:avLst/>
        </a:prstGeom>
        <a:solidFill>
          <a:srgbClr val="FFFFFF"/>
        </a:solidFill>
        <a:ln>
          <a:noFill/>
        </a:ln>
        <a:extLst/>
      </xdr:spPr>
      <xdr:txBody>
        <a:bodyPr anchor="t" bIns="0" lIns="27432" rIns="0" tIns="27432" upright="1" vertOverflow="clip" wrap="square"/>
        <a:lstStyle/>
        <a:p>
          <a:pPr algn="l" rtl="0">
            <a:defRPr sz="1000"/>
          </a:pPr>
          <a:r>
            <a:rPr altLang="en-US" b="0" baseline="0" i="0" lang="zh-TW" strike="noStrike" sz="1000" u="none">
              <a:solidFill>
                <a:srgbClr val="000000"/>
              </a:solidFill>
              <a:latin typeface="新細明體"/>
              <a:ea typeface="新細明體"/>
            </a:rPr>
            <a:t>單位:人次</a:t>
          </a:r>
        </a:p>
        <a:p>
          <a:pPr algn="l" rtl="0">
            <a:defRPr sz="1000"/>
          </a:pPr>
          <a:r>
            <a:rPr altLang="en-US" b="0" baseline="0" i="0" lang="zh-TW" strike="noStrike" sz="1000" u="none">
              <a:solidFill>
                <a:srgbClr val="000000"/>
              </a:solidFill>
              <a:latin typeface="新細明體"/>
              <a:ea typeface="新細明體"/>
            </a:rPr>
            <a:t>Unit: Persons</a:t>
          </a:r>
        </a:p>
      </xdr:txBody>
    </xdr:sp>
    <xdr:clientData/>
  </xdr:twoCellAnchor>
</xdr:wsDr>
</file>

<file path=xl/theme/theme1.xml><?xml version="1.0" encoding="utf-8"?>
<a:theme xmlns:a="http://schemas.openxmlformats.org/drawingml/2006/main" name="Office 佈景主題">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1"/>
  </sheetPr>
  <dimension ref="A1:AQ52"/>
  <sheetViews>
    <sheetView tabSelected="1" workbookViewId="0">
      <selection activeCell="C11" sqref="C11"/>
    </sheetView>
  </sheetViews>
  <sheetFormatPr defaultRowHeight="16.5"/>
  <cols>
    <col min="1" max="1" customWidth="true" width="12.625" collapsed="false"/>
    <col min="12" max="12" customWidth="true" width="8.0" collapsed="false"/>
    <col min="13" max="13" customWidth="true" width="8.375" collapsed="false"/>
    <col min="14" max="14" customWidth="true" width="8.625" collapsed="false"/>
    <col min="17" max="17" customWidth="true" width="8.0" collapsed="false"/>
    <col min="18" max="18" customWidth="true" width="8.375" collapsed="false"/>
    <col min="21" max="21" customWidth="true" width="8.625" collapsed="false"/>
    <col min="22" max="22" customWidth="true" width="8.25" collapsed="false"/>
    <col min="26" max="26" customWidth="true" width="8.625" collapsed="false"/>
    <col min="29" max="29" customWidth="true" width="8.25" collapsed="false"/>
    <col min="35" max="35" customWidth="true" width="8.0" collapsed="false"/>
    <col min="42" max="42" customWidth="true" width="10.5" collapsed="false"/>
  </cols>
  <sheetData>
    <row customHeight="1" ht="51" r="1" spans="1:4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customHeight="1" ht="27.75" r="2" spans="1:42">
      <c r="A2" s="7" t="s">
        <v>1</v>
      </c>
      <c r="B2" s="3" t="s">
        <v>2</v>
      </c>
      <c r="C2" s="4"/>
      <c r="D2" s="4"/>
      <c r="E2" s="4"/>
      <c r="F2" s="4"/>
      <c r="G2" s="4"/>
      <c r="H2" s="4"/>
      <c r="I2" s="4"/>
      <c r="J2" s="4"/>
      <c r="K2" s="4"/>
      <c r="L2" s="4"/>
      <c r="M2" s="4"/>
      <c r="N2" s="4"/>
      <c r="O2" s="4"/>
      <c r="P2" s="4"/>
      <c r="Q2" s="4"/>
      <c r="R2" s="4"/>
      <c r="S2" s="5"/>
      <c r="T2" s="3" t="s">
        <v>3</v>
      </c>
      <c r="U2" s="4"/>
      <c r="V2" s="4"/>
      <c r="W2" s="5"/>
      <c r="X2" s="3" t="s">
        <v>4</v>
      </c>
      <c r="Y2" s="4"/>
      <c r="Z2" s="4"/>
      <c r="AA2" s="4"/>
      <c r="AB2" s="4"/>
      <c r="AC2" s="4"/>
      <c r="AD2" s="4"/>
      <c r="AE2" s="4"/>
      <c r="AF2" s="5"/>
      <c r="AG2" s="3" t="s">
        <v>5</v>
      </c>
      <c r="AH2" s="4"/>
      <c r="AI2" s="4"/>
      <c r="AJ2" s="4"/>
      <c r="AK2" s="5"/>
      <c r="AL2" s="3" t="s">
        <v>47</v>
      </c>
      <c r="AM2" s="4"/>
      <c r="AN2" s="5"/>
      <c r="AO2" s="7" t="s">
        <v>6</v>
      </c>
      <c r="AP2" s="7" t="s">
        <v>7</v>
      </c>
    </row>
    <row customHeight="1" ht="60" r="3" spans="1:42">
      <c r="A3" s="8"/>
      <c r="B3" s="6" t="s">
        <v>8</v>
      </c>
      <c r="C3" s="6" t="s">
        <v>9</v>
      </c>
      <c r="D3" s="6" t="s">
        <v>10</v>
      </c>
      <c r="E3" s="6" t="s">
        <v>11</v>
      </c>
      <c r="F3" s="6" t="s">
        <v>12</v>
      </c>
      <c r="G3" s="6" t="s">
        <v>13</v>
      </c>
      <c r="H3" s="6" t="s">
        <v>14</v>
      </c>
      <c r="I3" s="6" t="s">
        <v>15</v>
      </c>
      <c r="J3" s="6" t="s">
        <v>16</v>
      </c>
      <c r="K3" s="6" t="s">
        <v>17</v>
      </c>
      <c r="L3" s="6" t="s">
        <v>18</v>
      </c>
      <c r="M3" s="6" t="s">
        <v>19</v>
      </c>
      <c r="N3" s="6" t="s">
        <v>20</v>
      </c>
      <c r="O3" s="6" t="s">
        <v>21</v>
      </c>
      <c r="P3" s="6" t="s">
        <v>22</v>
      </c>
      <c r="Q3" s="6" t="s">
        <v>23</v>
      </c>
      <c r="R3" s="6" t="s">
        <v>24</v>
      </c>
      <c r="S3" s="6" t="s">
        <v>25</v>
      </c>
      <c r="T3" s="6" t="s">
        <v>26</v>
      </c>
      <c r="U3" s="6" t="s">
        <v>27</v>
      </c>
      <c r="V3" s="6" t="s">
        <v>28</v>
      </c>
      <c r="W3" s="6" t="s">
        <v>29</v>
      </c>
      <c r="X3" s="6" t="s">
        <v>30</v>
      </c>
      <c r="Y3" s="6" t="s">
        <v>31</v>
      </c>
      <c r="Z3" s="6" t="s">
        <v>32</v>
      </c>
      <c r="AA3" s="6" t="s">
        <v>33</v>
      </c>
      <c r="AB3" s="6" t="s">
        <v>34</v>
      </c>
      <c r="AC3" s="6" t="s">
        <v>35</v>
      </c>
      <c r="AD3" s="6" t="s">
        <v>36</v>
      </c>
      <c r="AE3" s="6" t="s">
        <v>37</v>
      </c>
      <c r="AF3" s="6" t="s">
        <v>38</v>
      </c>
      <c r="AG3" s="6" t="s">
        <v>39</v>
      </c>
      <c r="AH3" s="6" t="s">
        <v>40</v>
      </c>
      <c r="AI3" s="6" t="s">
        <v>41</v>
      </c>
      <c r="AJ3" s="6" t="s">
        <v>42</v>
      </c>
      <c r="AK3" s="6" t="s">
        <v>43</v>
      </c>
      <c r="AL3" s="6" t="s">
        <v>44</v>
      </c>
      <c r="AM3" s="6" t="s">
        <v>45</v>
      </c>
      <c r="AN3" s="6" t="s">
        <v>46</v>
      </c>
      <c r="AO3" s="8"/>
      <c r="AP3" s="8"/>
    </row>
    <row r="4" spans="1:42">
      <c r="A4" s="9" t="s">
        <v>75</v>
      </c>
      <c r="B4" s="10" t="n">
        <v>63812.0</v>
      </c>
      <c r="C4" s="10" t="n">
        <v>0.0</v>
      </c>
      <c r="D4" s="10" t="n">
        <v>0.0</v>
      </c>
      <c r="E4" s="10" t="n">
        <v>173581.0</v>
      </c>
      <c r="F4" s="10" t="n">
        <v>76995.0</v>
      </c>
      <c r="G4" s="10" t="n">
        <v>19563.0</v>
      </c>
      <c r="H4" s="10" t="n">
        <v>4418.0</v>
      </c>
      <c r="I4" s="10" t="n">
        <v>14956.0</v>
      </c>
      <c r="J4" s="10" t="n">
        <v>35718.0</v>
      </c>
      <c r="K4" s="10" t="n">
        <v>4507.0</v>
      </c>
      <c r="L4" s="10" t="n">
        <v>0.0</v>
      </c>
      <c r="M4" s="10" t="n">
        <v>0.0</v>
      </c>
      <c r="N4" s="10" t="n">
        <v>0.0</v>
      </c>
      <c r="O4" s="10" t="n">
        <v>0.0</v>
      </c>
      <c r="P4" s="10" t="n">
        <v>0.0</v>
      </c>
      <c r="Q4" s="10" t="n">
        <v>0.0</v>
      </c>
      <c r="R4" s="10">
        <f>S4-SUM(B4:Q4)</f>
      </c>
      <c r="S4" s="10" t="n">
        <v>402244.0</v>
      </c>
      <c r="T4" s="10" t="n">
        <v>69448.0</v>
      </c>
      <c r="U4" s="10" t="n">
        <v>1548.0</v>
      </c>
      <c r="V4" s="10">
        <f>W4-SUM(T4:U4)</f>
      </c>
      <c r="W4" s="10" t="n">
        <v>73754.0</v>
      </c>
      <c r="X4" s="10" t="n">
        <v>586.0</v>
      </c>
      <c r="Y4" s="10" t="n">
        <v>1239.0</v>
      </c>
      <c r="Z4" s="10" t="n">
        <v>461.0</v>
      </c>
      <c r="AA4" s="10" t="n">
        <v>206.0</v>
      </c>
      <c r="AB4" s="10" t="n">
        <v>207.0</v>
      </c>
      <c r="AC4" s="10" t="n">
        <v>898.0</v>
      </c>
      <c r="AD4" s="10" t="n">
        <v>0.0</v>
      </c>
      <c r="AE4" s="10">
        <f>AF4-SUM(X4:AD4)</f>
      </c>
      <c r="AF4" s="10" t="n">
        <v>4830.0</v>
      </c>
      <c r="AG4" s="10" t="n">
        <v>999.0</v>
      </c>
      <c r="AH4" s="10" t="n">
        <v>75.0</v>
      </c>
      <c r="AI4" s="10" t="n">
        <v>0.0</v>
      </c>
      <c r="AJ4" s="10">
        <f>AK4-SUM(AG4:AI4)</f>
      </c>
      <c r="AK4" s="10" t="n">
        <v>1300.0</v>
      </c>
      <c r="AL4" s="10" t="n">
        <v>946.0</v>
      </c>
      <c r="AM4" s="10">
        <f>AN4-AL4</f>
      </c>
      <c r="AN4" s="10" t="n">
        <v>2773.0</v>
      </c>
      <c r="AO4" s="10" t="n">
        <v>0.0</v>
      </c>
      <c r="AP4" s="10">
        <f>AO4+AN4+AK4+AF4+W4+S4</f>
      </c>
    </row>
    <row r="5" spans="1:42">
      <c r="A5" s="9" t="s">
        <v>77</v>
      </c>
      <c r="B5" s="10" t="n">
        <v>72418.0</v>
      </c>
      <c r="C5" s="10" t="n">
        <v>0.0</v>
      </c>
      <c r="D5" s="10" t="n">
        <v>0.0</v>
      </c>
      <c r="E5" s="10" t="n">
        <v>218486.0</v>
      </c>
      <c r="F5" s="10" t="n">
        <v>98241.0</v>
      </c>
      <c r="G5" s="10" t="n">
        <v>20251.0</v>
      </c>
      <c r="H5" s="10" t="n">
        <v>5035.0</v>
      </c>
      <c r="I5" s="10" t="n">
        <v>15919.0</v>
      </c>
      <c r="J5" s="10" t="n">
        <v>35170.0</v>
      </c>
      <c r="K5" s="10" t="n">
        <v>5694.0</v>
      </c>
      <c r="L5" s="10" t="n">
        <v>0.0</v>
      </c>
      <c r="M5" s="10" t="n">
        <v>0.0</v>
      </c>
      <c r="N5" s="10" t="n">
        <v>0.0</v>
      </c>
      <c r="O5" s="10" t="n">
        <v>0.0</v>
      </c>
      <c r="P5" s="10" t="n">
        <v>0.0</v>
      </c>
      <c r="Q5" s="10" t="n">
        <v>0.0</v>
      </c>
      <c r="R5" s="10" t="s">
        <f>S5-SUM(B5:Q5)</f>
      </c>
      <c r="S5" s="10" t="n">
        <v>480673.0</v>
      </c>
      <c r="T5" s="10" t="n">
        <v>76399.0</v>
      </c>
      <c r="U5" s="10" t="n">
        <v>1741.0</v>
      </c>
      <c r="V5" s="10" t="s">
        <f>W5-SUM(T5:U5)</f>
      </c>
      <c r="W5" s="10" t="n">
        <v>80901.0</v>
      </c>
      <c r="X5" s="10" t="n">
        <v>877.0</v>
      </c>
      <c r="Y5" s="10" t="n">
        <v>1345.0</v>
      </c>
      <c r="Z5" s="10" t="n">
        <v>683.0</v>
      </c>
      <c r="AA5" s="10" t="n">
        <v>264.0</v>
      </c>
      <c r="AB5" s="10" t="n">
        <v>321.0</v>
      </c>
      <c r="AC5" s="10" t="n">
        <v>1499.0</v>
      </c>
      <c r="AD5" s="10" t="n">
        <v>0.0</v>
      </c>
      <c r="AE5" s="10" t="s">
        <f>AF5-SUM(X5:AD5)</f>
      </c>
      <c r="AF5" s="10" t="n">
        <v>6777.0</v>
      </c>
      <c r="AG5" s="10" t="n">
        <v>1368.0</v>
      </c>
      <c r="AH5" s="10" t="n">
        <v>123.0</v>
      </c>
      <c r="AI5" s="10" t="n">
        <v>0.0</v>
      </c>
      <c r="AJ5" s="10" t="s">
        <f>AK5-SUM(AG5:AI5)</f>
      </c>
      <c r="AK5" s="10" t="n">
        <v>1779.0</v>
      </c>
      <c r="AL5" s="10" t="n">
        <v>2186.0</v>
      </c>
      <c r="AM5" s="10" t="s">
        <f>AN5-AL5</f>
      </c>
      <c r="AN5" s="10" t="n">
        <v>5407.0</v>
      </c>
      <c r="AO5" s="10" t="n">
        <v>0.0</v>
      </c>
      <c r="AP5" s="10" t="s">
        <f>AO5+AN5+AK5+AF5+W5+S5</f>
      </c>
    </row>
    <row r="6">
      <c r="A6" s="9" t="s">
        <v>81</v>
      </c>
      <c r="B6" s="10" t="n">
        <v>81558.0</v>
      </c>
      <c r="C6" s="10" t="n">
        <v>0.0</v>
      </c>
      <c r="D6" s="10" t="n">
        <v>0.0</v>
      </c>
      <c r="E6" s="10" t="n">
        <v>260414.0</v>
      </c>
      <c r="F6" s="10" t="n">
        <v>67002.0</v>
      </c>
      <c r="G6" s="10" t="n">
        <v>24124.0</v>
      </c>
      <c r="H6" s="10" t="n">
        <v>8996.0</v>
      </c>
      <c r="I6" s="10" t="n">
        <v>21726.0</v>
      </c>
      <c r="J6" s="10" t="n">
        <v>42274.0</v>
      </c>
      <c r="K6" s="10" t="n">
        <v>6985.0</v>
      </c>
      <c r="L6" s="10" t="n">
        <v>0.0</v>
      </c>
      <c r="M6" s="10" t="n">
        <v>0.0</v>
      </c>
      <c r="N6" s="10" t="n">
        <v>0.0</v>
      </c>
      <c r="O6" s="10" t="n">
        <v>0.0</v>
      </c>
      <c r="P6" s="10" t="n">
        <v>0.0</v>
      </c>
      <c r="Q6" s="10" t="n">
        <v>0.0</v>
      </c>
      <c r="R6" s="10" t="s">
        <f>S6-SUM(B6:Q6)</f>
      </c>
      <c r="S6" s="10" t="n">
        <v>522434.0</v>
      </c>
      <c r="T6" s="10" t="n">
        <v>98995.0</v>
      </c>
      <c r="U6" s="10" t="n">
        <v>2046.0</v>
      </c>
      <c r="V6" s="10" t="s">
        <f>W6-SUM(T6:U6)</f>
      </c>
      <c r="W6" s="10" t="n">
        <v>104135.0</v>
      </c>
      <c r="X6" s="10" t="n">
        <v>1427.0</v>
      </c>
      <c r="Y6" s="10" t="n">
        <v>1275.0</v>
      </c>
      <c r="Z6" s="10" t="n">
        <v>974.0</v>
      </c>
      <c r="AA6" s="10" t="n">
        <v>297.0</v>
      </c>
      <c r="AB6" s="10" t="n">
        <v>325.0</v>
      </c>
      <c r="AC6" s="10" t="n">
        <v>1261.0</v>
      </c>
      <c r="AD6" s="10" t="n">
        <v>0.0</v>
      </c>
      <c r="AE6" s="10" t="s">
        <f>AF6-SUM(X6:AD6)</f>
      </c>
      <c r="AF6" s="10" t="n">
        <v>7786.0</v>
      </c>
      <c r="AG6" s="10" t="n">
        <v>1041.0</v>
      </c>
      <c r="AH6" s="10" t="n">
        <v>182.0</v>
      </c>
      <c r="AI6" s="10" t="n">
        <v>0.0</v>
      </c>
      <c r="AJ6" s="10" t="s">
        <f>AK6-SUM(AG6:AI6)</f>
      </c>
      <c r="AK6" s="10" t="n">
        <v>1444.0</v>
      </c>
      <c r="AL6" s="10" t="n">
        <v>2441.0</v>
      </c>
      <c r="AM6" s="10" t="s">
        <f>AN6-AL6</f>
      </c>
      <c r="AN6" s="10" t="n">
        <v>4870.0</v>
      </c>
      <c r="AO6" s="10" t="n">
        <v>0.0</v>
      </c>
      <c r="AP6" s="10" t="s">
        <f>AO6+AN6+AK6+AF6+W6+S6</f>
      </c>
    </row>
    <row r="7">
      <c r="A7" s="9" t="s">
        <v>51</v>
      </c>
      <c r="B7" s="10" t="n">
        <v>98754.0</v>
      </c>
      <c r="C7" s="10" t="n">
        <v>0.0</v>
      </c>
      <c r="D7" s="10" t="n">
        <v>0.0</v>
      </c>
      <c r="E7" s="10" t="n">
        <v>256102.0</v>
      </c>
      <c r="F7" s="10" t="n">
        <v>75007.0</v>
      </c>
      <c r="G7" s="10" t="n">
        <v>25656.0</v>
      </c>
      <c r="H7" s="10" t="n">
        <v>10320.0</v>
      </c>
      <c r="I7" s="10" t="n">
        <v>23631.0</v>
      </c>
      <c r="J7" s="10" t="n">
        <v>37375.0</v>
      </c>
      <c r="K7" s="10" t="n">
        <v>7693.0</v>
      </c>
      <c r="L7" s="10" t="n">
        <v>0.0</v>
      </c>
      <c r="M7" s="10" t="n">
        <v>0.0</v>
      </c>
      <c r="N7" s="10" t="n">
        <v>0.0</v>
      </c>
      <c r="O7" s="10" t="n">
        <v>0.0</v>
      </c>
      <c r="P7" s="10" t="n">
        <v>0.0</v>
      </c>
      <c r="Q7" s="10" t="n">
        <v>0.0</v>
      </c>
      <c r="R7" s="10" t="s">
        <f>S7-SUM(B7:Q7)</f>
      </c>
      <c r="S7" s="10" t="n">
        <v>545211.0</v>
      </c>
      <c r="T7" s="10" t="n">
        <v>110148.0</v>
      </c>
      <c r="U7" s="10" t="n">
        <v>2159.0</v>
      </c>
      <c r="V7" s="10" t="s">
        <f>W7-SUM(T7:U7)</f>
      </c>
      <c r="W7" s="10" t="n">
        <v>115874.0</v>
      </c>
      <c r="X7" s="10" t="n">
        <v>1034.0</v>
      </c>
      <c r="Y7" s="10" t="n">
        <v>1230.0</v>
      </c>
      <c r="Z7" s="10" t="n">
        <v>770.0</v>
      </c>
      <c r="AA7" s="10" t="n">
        <v>1735.0</v>
      </c>
      <c r="AB7" s="10" t="n">
        <v>336.0</v>
      </c>
      <c r="AC7" s="10" t="n">
        <v>1843.0</v>
      </c>
      <c r="AD7" s="10" t="n">
        <v>0.0</v>
      </c>
      <c r="AE7" s="10" t="s">
        <f>AF7-SUM(X7:AD7)</f>
      </c>
      <c r="AF7" s="10" t="n">
        <v>8926.0</v>
      </c>
      <c r="AG7" s="10" t="n">
        <v>888.0</v>
      </c>
      <c r="AH7" s="10" t="n">
        <v>114.0</v>
      </c>
      <c r="AI7" s="10" t="n">
        <v>0.0</v>
      </c>
      <c r="AJ7" s="10" t="s">
        <f>AK7-SUM(AG7:AI7)</f>
      </c>
      <c r="AK7" s="10" t="n">
        <v>1214.0</v>
      </c>
      <c r="AL7" s="10" t="n">
        <v>2458.0</v>
      </c>
      <c r="AM7" s="10" t="s">
        <f>AN7-AL7</f>
      </c>
      <c r="AN7" s="10" t="n">
        <v>3353.0</v>
      </c>
      <c r="AO7" s="10" t="n">
        <v>0.0</v>
      </c>
      <c r="AP7" s="10" t="s">
        <f>AO7+AN7+AK7+AF7+W7+S7</f>
      </c>
    </row>
    <row r="8">
      <c r="A8" s="9" t="s">
        <v>55</v>
      </c>
      <c r="B8" s="10" t="n">
        <v>109075.0</v>
      </c>
      <c r="C8" s="10" t="n">
        <v>0.0</v>
      </c>
      <c r="D8" s="10" t="n">
        <v>0.0</v>
      </c>
      <c r="E8" s="10" t="n">
        <v>292127.0</v>
      </c>
      <c r="F8" s="10" t="n">
        <v>73088.0</v>
      </c>
      <c r="G8" s="10" t="n">
        <v>29648.0</v>
      </c>
      <c r="H8" s="10" t="n">
        <v>12974.0</v>
      </c>
      <c r="I8" s="10" t="n">
        <v>22619.0</v>
      </c>
      <c r="J8" s="10" t="n">
        <v>36549.0</v>
      </c>
      <c r="K8" s="10" t="n">
        <v>8221.0</v>
      </c>
      <c r="L8" s="10" t="n">
        <v>0.0</v>
      </c>
      <c r="M8" s="10" t="n">
        <v>0.0</v>
      </c>
      <c r="N8" s="10" t="n">
        <v>0.0</v>
      </c>
      <c r="O8" s="10" t="n">
        <v>0.0</v>
      </c>
      <c r="P8" s="10" t="n">
        <v>0.0</v>
      </c>
      <c r="Q8" s="10" t="n">
        <v>0.0</v>
      </c>
      <c r="R8" s="10" t="s">
        <f>S8-SUM(B8:Q8)</f>
      </c>
      <c r="S8" s="10" t="n">
        <v>594752.0</v>
      </c>
      <c r="T8" s="10" t="n">
        <v>132692.0</v>
      </c>
      <c r="U8" s="10" t="n">
        <v>2301.0</v>
      </c>
      <c r="V8" s="10" t="s">
        <f>W8-SUM(T8:U8)</f>
      </c>
      <c r="W8" s="10" t="n">
        <v>139104.0</v>
      </c>
      <c r="X8" s="10" t="n">
        <v>1357.0</v>
      </c>
      <c r="Y8" s="10" t="n">
        <v>1651.0</v>
      </c>
      <c r="Z8" s="10" t="n">
        <v>573.0</v>
      </c>
      <c r="AA8" s="10" t="n">
        <v>2932.0</v>
      </c>
      <c r="AB8" s="10" t="n">
        <v>187.0</v>
      </c>
      <c r="AC8" s="10" t="n">
        <v>1310.0</v>
      </c>
      <c r="AD8" s="10" t="n">
        <v>0.0</v>
      </c>
      <c r="AE8" s="10" t="s">
        <f>AF8-SUM(X8:AD8)</f>
      </c>
      <c r="AF8" s="10" t="n">
        <v>11498.0</v>
      </c>
      <c r="AG8" s="10" t="n">
        <v>1047.0</v>
      </c>
      <c r="AH8" s="10" t="n">
        <v>123.0</v>
      </c>
      <c r="AI8" s="10" t="n">
        <v>0.0</v>
      </c>
      <c r="AJ8" s="10" t="s">
        <f>AK8-SUM(AG8:AI8)</f>
      </c>
      <c r="AK8" s="10" t="n">
        <v>1741.0</v>
      </c>
      <c r="AL8" s="10" t="n">
        <v>2429.0</v>
      </c>
      <c r="AM8" s="10" t="s">
        <f>AN8-AL8</f>
      </c>
      <c r="AN8" s="10" t="n">
        <v>3309.0</v>
      </c>
      <c r="AO8" s="10" t="n">
        <v>0.0</v>
      </c>
      <c r="AP8" s="10" t="s">
        <f>AO8+AN8+AK8+AF8+W8+S8</f>
      </c>
    </row>
    <row r="9">
      <c r="A9" s="9" t="s">
        <v>60</v>
      </c>
      <c r="B9" s="10" t="n">
        <v>118405.0</v>
      </c>
      <c r="C9" s="10" t="n">
        <v>0.0</v>
      </c>
      <c r="D9" s="10" t="n">
        <v>0.0</v>
      </c>
      <c r="E9" s="10" t="n">
        <v>312173.0</v>
      </c>
      <c r="F9" s="10" t="n">
        <v>90272.0</v>
      </c>
      <c r="G9" s="10" t="n">
        <v>31212.0</v>
      </c>
      <c r="H9" s="10" t="n">
        <v>17150.0</v>
      </c>
      <c r="I9" s="10" t="n">
        <v>30467.0</v>
      </c>
      <c r="J9" s="10" t="n">
        <v>34303.0</v>
      </c>
      <c r="K9" s="10" t="n">
        <v>6780.0</v>
      </c>
      <c r="L9" s="10" t="n">
        <v>0.0</v>
      </c>
      <c r="M9" s="10" t="n">
        <v>0.0</v>
      </c>
      <c r="N9" s="10" t="n">
        <v>0.0</v>
      </c>
      <c r="O9" s="10" t="n">
        <v>0.0</v>
      </c>
      <c r="P9" s="10" t="n">
        <v>0.0</v>
      </c>
      <c r="Q9" s="10" t="n">
        <v>0.0</v>
      </c>
      <c r="R9" s="10" t="s">
        <f>S9-SUM(B9:Q9)</f>
      </c>
      <c r="S9" s="10" t="n">
        <v>649584.0</v>
      </c>
      <c r="T9" s="10" t="n">
        <v>164161.0</v>
      </c>
      <c r="U9" s="10" t="n">
        <v>3147.0</v>
      </c>
      <c r="V9" s="10" t="s">
        <f>W9-SUM(T9:U9)</f>
      </c>
      <c r="W9" s="10" t="n">
        <v>173188.0</v>
      </c>
      <c r="X9" s="10" t="n">
        <v>1333.0</v>
      </c>
      <c r="Y9" s="10" t="n">
        <v>1901.0</v>
      </c>
      <c r="Z9" s="10" t="n">
        <v>747.0</v>
      </c>
      <c r="AA9" s="10" t="n">
        <v>4526.0</v>
      </c>
      <c r="AB9" s="10" t="n">
        <v>235.0</v>
      </c>
      <c r="AC9" s="10" t="n">
        <v>2090.0</v>
      </c>
      <c r="AD9" s="10" t="n">
        <v>3576.0</v>
      </c>
      <c r="AE9" s="10" t="s">
        <f>AF9-SUM(X9:AD9)</f>
      </c>
      <c r="AF9" s="10" t="n">
        <v>18296.0</v>
      </c>
      <c r="AG9" s="10" t="n">
        <v>1833.0</v>
      </c>
      <c r="AH9" s="10" t="n">
        <v>154.0</v>
      </c>
      <c r="AI9" s="10" t="n">
        <v>0.0</v>
      </c>
      <c r="AJ9" s="10" t="s">
        <f>AK9-SUM(AG9:AI9)</f>
      </c>
      <c r="AK9" s="10" t="n">
        <v>2735.0</v>
      </c>
      <c r="AL9" s="10" t="n">
        <v>1992.0</v>
      </c>
      <c r="AM9" s="10" t="s">
        <f>AN9-AL9</f>
      </c>
      <c r="AN9" s="10" t="n">
        <v>2986.0</v>
      </c>
      <c r="AO9" s="10" t="n">
        <v>0.0</v>
      </c>
      <c r="AP9" s="10" t="s">
        <f>AO9+AN9+AK9+AF9+W9+S9</f>
      </c>
    </row>
    <row r="10">
      <c r="A10" s="9" t="s">
        <v>63</v>
      </c>
      <c r="B10" s="10" t="n">
        <v>121427.0</v>
      </c>
      <c r="C10" s="10" t="n">
        <v>0.0</v>
      </c>
      <c r="D10" s="10" t="n">
        <v>0.0</v>
      </c>
      <c r="E10" s="10" t="n">
        <v>253524.0</v>
      </c>
      <c r="F10" s="10" t="n">
        <v>81644.0</v>
      </c>
      <c r="G10" s="10" t="n">
        <v>30831.0</v>
      </c>
      <c r="H10" s="10" t="n">
        <v>30841.0</v>
      </c>
      <c r="I10" s="10" t="n">
        <v>63271.0</v>
      </c>
      <c r="J10" s="10" t="n">
        <v>32510.0</v>
      </c>
      <c r="K10" s="10" t="n">
        <v>7058.0</v>
      </c>
      <c r="L10" s="10" t="n">
        <v>0.0</v>
      </c>
      <c r="M10" s="10" t="n">
        <v>0.0</v>
      </c>
      <c r="N10" s="10" t="n">
        <v>0.0</v>
      </c>
      <c r="O10" s="10" t="n">
        <v>0.0</v>
      </c>
      <c r="P10" s="10" t="n">
        <v>0.0</v>
      </c>
      <c r="Q10" s="10" t="n">
        <v>0.0</v>
      </c>
      <c r="R10" s="10" t="s">
        <f>S10-SUM(B10:Q10)</f>
      </c>
      <c r="S10" s="10" t="n">
        <v>627134.0</v>
      </c>
      <c r="T10" s="10" t="n">
        <v>153462.0</v>
      </c>
      <c r="U10" s="10" t="n">
        <v>3074.0</v>
      </c>
      <c r="V10" s="10" t="s">
        <f>W10-SUM(T10:U10)</f>
      </c>
      <c r="W10" s="10" t="n">
        <v>162137.0</v>
      </c>
      <c r="X10" s="10" t="n">
        <v>1480.0</v>
      </c>
      <c r="Y10" s="10" t="n">
        <v>1845.0</v>
      </c>
      <c r="Z10" s="10" t="n">
        <v>718.0</v>
      </c>
      <c r="AA10" s="10" t="n">
        <v>4626.0</v>
      </c>
      <c r="AB10" s="10" t="n">
        <v>329.0</v>
      </c>
      <c r="AC10" s="10" t="n">
        <v>1720.0</v>
      </c>
      <c r="AD10" s="10" t="n">
        <v>2940.0</v>
      </c>
      <c r="AE10" s="10" t="s">
        <f>AF10-SUM(X10:AD10)</f>
      </c>
      <c r="AF10" s="10" t="n">
        <v>16772.0</v>
      </c>
      <c r="AG10" s="10" t="n">
        <v>2619.0</v>
      </c>
      <c r="AH10" s="10" t="n">
        <v>148.0</v>
      </c>
      <c r="AI10" s="10" t="n">
        <v>0.0</v>
      </c>
      <c r="AJ10" s="10" t="s">
        <f>AK10-SUM(AG10:AI10)</f>
      </c>
      <c r="AK10" s="10" t="n">
        <v>3475.0</v>
      </c>
      <c r="AL10" s="10" t="n">
        <v>2480.0</v>
      </c>
      <c r="AM10" s="10" t="s">
        <f>AN10-AL10</f>
      </c>
      <c r="AN10" s="10" t="n">
        <v>3410.0</v>
      </c>
      <c r="AO10" s="10" t="n">
        <v>0.0</v>
      </c>
      <c r="AP10" s="10" t="s">
        <f>AO10+AN10+AK10+AF10+W10+S10</f>
      </c>
    </row>
    <row r="11">
      <c r="A11" s="9" t="s">
        <v>68</v>
      </c>
      <c r="B11" s="10" t="n">
        <v>195501.0</v>
      </c>
      <c r="C11" s="10" t="n">
        <v>0.0</v>
      </c>
      <c r="D11" s="10" t="n">
        <v>0.0</v>
      </c>
      <c r="E11" s="10" t="n">
        <v>295007.0</v>
      </c>
      <c r="F11" s="10" t="n">
        <v>98014.0</v>
      </c>
      <c r="G11" s="10" t="n">
        <v>40194.0</v>
      </c>
      <c r="H11" s="10" t="n">
        <v>45411.0</v>
      </c>
      <c r="I11" s="10" t="n">
        <v>115472.0</v>
      </c>
      <c r="J11" s="10" t="n">
        <v>36866.0</v>
      </c>
      <c r="K11" s="10" t="n">
        <v>16035.0</v>
      </c>
      <c r="L11" s="10" t="n">
        <v>0.0</v>
      </c>
      <c r="M11" s="10" t="n">
        <v>0.0</v>
      </c>
      <c r="N11" s="10" t="n">
        <v>0.0</v>
      </c>
      <c r="O11" s="10" t="n">
        <v>0.0</v>
      </c>
      <c r="P11" s="10" t="n">
        <v>0.0</v>
      </c>
      <c r="Q11" s="10" t="n">
        <v>0.0</v>
      </c>
      <c r="R11" s="10" t="s">
        <f>S11-SUM(B11:Q11)</f>
      </c>
      <c r="S11" s="10" t="n">
        <v>849516.0</v>
      </c>
      <c r="T11" s="10" t="n">
        <v>164267.0</v>
      </c>
      <c r="U11" s="10" t="n">
        <v>3674.0</v>
      </c>
      <c r="V11" s="10" t="s">
        <f>W11-SUM(T11:U11)</f>
      </c>
      <c r="W11" s="10" t="n">
        <v>173067.0</v>
      </c>
      <c r="X11" s="10" t="n">
        <v>2339.0</v>
      </c>
      <c r="Y11" s="10" t="n">
        <v>1951.0</v>
      </c>
      <c r="Z11" s="10" t="n">
        <v>1248.0</v>
      </c>
      <c r="AA11" s="10" t="n">
        <v>9230.0</v>
      </c>
      <c r="AB11" s="10" t="n">
        <v>410.0</v>
      </c>
      <c r="AC11" s="10" t="n">
        <v>2712.0</v>
      </c>
      <c r="AD11" s="10" t="n">
        <v>4131.0</v>
      </c>
      <c r="AE11" s="10" t="s">
        <f>AF11-SUM(X11:AD11)</f>
      </c>
      <c r="AF11" s="10" t="n">
        <v>26672.0</v>
      </c>
      <c r="AG11" s="10" t="n">
        <v>3218.0</v>
      </c>
      <c r="AH11" s="10" t="n">
        <v>226.0</v>
      </c>
      <c r="AI11" s="10" t="n">
        <v>0.0</v>
      </c>
      <c r="AJ11" s="10" t="s">
        <f>AK11-SUM(AG11:AI11)</f>
      </c>
      <c r="AK11" s="10" t="n">
        <v>4086.0</v>
      </c>
      <c r="AL11" s="10" t="n">
        <v>4079.0</v>
      </c>
      <c r="AM11" s="10" t="s">
        <f>AN11-AL11</f>
      </c>
      <c r="AN11" s="10" t="n">
        <v>5069.0</v>
      </c>
      <c r="AO11" s="10" t="n">
        <v>0.0</v>
      </c>
      <c r="AP11" s="10" t="s">
        <f>AO11+AN11+AK11+AF11+W11+S11</f>
      </c>
    </row>
    <row r="12">
      <c r="A12" s="9" t="s">
        <v>73</v>
      </c>
      <c r="B12" s="10" t="n">
        <v>621846.0</v>
      </c>
      <c r="C12" s="10" t="n">
        <v>0.0</v>
      </c>
      <c r="D12" s="10" t="n">
        <v>0.0</v>
      </c>
      <c r="E12" s="10" t="n">
        <v>340488.0</v>
      </c>
      <c r="F12" s="10" t="n">
        <v>100569.0</v>
      </c>
      <c r="G12" s="10" t="n">
        <v>45989.0</v>
      </c>
      <c r="H12" s="10" t="n">
        <v>42251.0</v>
      </c>
      <c r="I12" s="10" t="n">
        <v>154853.0</v>
      </c>
      <c r="J12" s="10" t="n">
        <v>44309.0</v>
      </c>
      <c r="K12" s="10" t="n">
        <v>18994.0</v>
      </c>
      <c r="L12" s="10" t="n">
        <v>0.0</v>
      </c>
      <c r="M12" s="10" t="n">
        <v>0.0</v>
      </c>
      <c r="N12" s="10" t="n">
        <v>0.0</v>
      </c>
      <c r="O12" s="10" t="n">
        <v>0.0</v>
      </c>
      <c r="P12" s="10" t="n">
        <v>0.0</v>
      </c>
      <c r="Q12" s="10" t="n">
        <v>0.0</v>
      </c>
      <c r="R12" s="10" t="s">
        <f>S12-SUM(B12:Q12)</f>
      </c>
      <c r="S12" s="10" t="n">
        <v>1374976.0</v>
      </c>
      <c r="T12" s="10" t="n">
        <v>183402.0</v>
      </c>
      <c r="U12" s="10" t="n">
        <v>5132.0</v>
      </c>
      <c r="V12" s="10" t="s">
        <f>W12-SUM(T12:U12)</f>
      </c>
      <c r="W12" s="10" t="n">
        <v>193304.0</v>
      </c>
      <c r="X12" s="10" t="n">
        <v>1610.0</v>
      </c>
      <c r="Y12" s="10" t="n">
        <v>1774.0</v>
      </c>
      <c r="Z12" s="10" t="n">
        <v>922.0</v>
      </c>
      <c r="AA12" s="10" t="n">
        <v>9277.0</v>
      </c>
      <c r="AB12" s="10" t="n">
        <v>316.0</v>
      </c>
      <c r="AC12" s="10" t="n">
        <v>1905.0</v>
      </c>
      <c r="AD12" s="10" t="n">
        <v>3192.0</v>
      </c>
      <c r="AE12" s="10" t="s">
        <f>AF12-SUM(X12:AD12)</f>
      </c>
      <c r="AF12" s="10" t="n">
        <v>22279.0</v>
      </c>
      <c r="AG12" s="10" t="n">
        <v>3808.0</v>
      </c>
      <c r="AH12" s="10" t="n">
        <v>342.0</v>
      </c>
      <c r="AI12" s="10" t="n">
        <v>0.0</v>
      </c>
      <c r="AJ12" s="10" t="s">
        <f>AK12-SUM(AG12:AI12)</f>
      </c>
      <c r="AK12" s="10" t="n">
        <v>4781.0</v>
      </c>
      <c r="AL12" s="10" t="n">
        <v>5752.0</v>
      </c>
      <c r="AM12" s="10" t="s">
        <f>AN12-AL12</f>
      </c>
      <c r="AN12" s="10" t="n">
        <v>6652.0</v>
      </c>
      <c r="AO12" s="10" t="n">
        <v>0.0</v>
      </c>
      <c r="AP12" s="10" t="s">
        <f>AO12+AN12+AK12+AF12+W12+S12</f>
      </c>
    </row>
    <row r="13">
      <c r="A13" s="9" t="s">
        <v>79</v>
      </c>
      <c r="B13" s="10" t="n">
        <v>810977.0</v>
      </c>
      <c r="C13" s="10" t="n">
        <v>0.0</v>
      </c>
      <c r="D13" s="10" t="n">
        <v>0.0</v>
      </c>
      <c r="E13" s="10" t="n">
        <v>474245.0</v>
      </c>
      <c r="F13" s="10" t="n">
        <v>133867.0</v>
      </c>
      <c r="G13" s="10" t="n">
        <v>70924.0</v>
      </c>
      <c r="H13" s="10" t="n">
        <v>59936.0</v>
      </c>
      <c r="I13" s="10" t="n">
        <v>258668.0</v>
      </c>
      <c r="J13" s="10" t="n">
        <v>80678.0</v>
      </c>
      <c r="K13" s="10" t="n">
        <v>23301.0</v>
      </c>
      <c r="L13" s="10" t="n">
        <v>0.0</v>
      </c>
      <c r="M13" s="10" t="n">
        <v>0.0</v>
      </c>
      <c r="N13" s="10" t="n">
        <v>0.0</v>
      </c>
      <c r="O13" s="10" t="n">
        <v>0.0</v>
      </c>
      <c r="P13" s="10" t="n">
        <v>0.0</v>
      </c>
      <c r="Q13" s="10" t="n">
        <v>0.0</v>
      </c>
      <c r="R13" s="10" t="s">
        <f>S13-SUM(B13:Q13)</f>
      </c>
      <c r="S13" s="10" t="n">
        <v>1915893.0</v>
      </c>
      <c r="T13" s="10" t="n">
        <v>157565.0</v>
      </c>
      <c r="U13" s="10" t="n">
        <v>1283.0</v>
      </c>
      <c r="V13" s="10" t="s">
        <f>W13-SUM(T13:U13)</f>
      </c>
      <c r="W13" s="10" t="n">
        <v>159408.0</v>
      </c>
      <c r="X13" s="10" t="n">
        <v>241.0</v>
      </c>
      <c r="Y13" s="10" t="n">
        <v>226.0</v>
      </c>
      <c r="Z13" s="10" t="n">
        <v>75.0</v>
      </c>
      <c r="AA13" s="10" t="n">
        <v>13897.0</v>
      </c>
      <c r="AB13" s="10" t="n">
        <v>35.0</v>
      </c>
      <c r="AC13" s="10" t="n">
        <v>469.0</v>
      </c>
      <c r="AD13" s="10" t="n">
        <v>2770.0</v>
      </c>
      <c r="AE13" s="10" t="s">
        <f>AF13-SUM(X13:AD13)</f>
      </c>
      <c r="AF13" s="10" t="n">
        <v>18549.0</v>
      </c>
      <c r="AG13" s="10" t="n">
        <v>909.0</v>
      </c>
      <c r="AH13" s="10" t="n">
        <v>147.0</v>
      </c>
      <c r="AI13" s="10" t="n">
        <v>0.0</v>
      </c>
      <c r="AJ13" s="10" t="s">
        <f>AK13-SUM(AG13:AI13)</f>
      </c>
      <c r="AK13" s="10" t="n">
        <v>1134.0</v>
      </c>
      <c r="AL13" s="10" t="n">
        <v>11211.0</v>
      </c>
      <c r="AM13" s="10" t="s">
        <f>AN13-AL13</f>
      </c>
      <c r="AN13" s="10" t="n">
        <v>12829.0</v>
      </c>
      <c r="AO13" s="10" t="n">
        <v>0.0</v>
      </c>
      <c r="AP13" s="10" t="s">
        <f>AO13+AN13+AK13+AF13+W13+S13</f>
      </c>
    </row>
    <row r="14">
      <c r="A14" s="9" t="s">
        <v>82</v>
      </c>
      <c r="B14" s="10" t="n">
        <v>1245764.0</v>
      </c>
      <c r="C14" s="10" t="n">
        <v>0.0</v>
      </c>
      <c r="D14" s="10" t="n">
        <v>0.0</v>
      </c>
      <c r="E14" s="10" t="n">
        <v>591495.0</v>
      </c>
      <c r="F14" s="10" t="n">
        <v>221454.0</v>
      </c>
      <c r="G14" s="10" t="n">
        <v>96607.0</v>
      </c>
      <c r="H14" s="10" t="n">
        <v>57074.0</v>
      </c>
      <c r="I14" s="10" t="n">
        <v>355962.0</v>
      </c>
      <c r="J14" s="10" t="n">
        <v>65250.0</v>
      </c>
      <c r="K14" s="10" t="n">
        <v>32397.0</v>
      </c>
      <c r="L14" s="10" t="n">
        <v>0.0</v>
      </c>
      <c r="M14" s="10" t="n">
        <v>0.0</v>
      </c>
      <c r="N14" s="10" t="n">
        <v>0.0</v>
      </c>
      <c r="O14" s="10" t="n">
        <v>0.0</v>
      </c>
      <c r="P14" s="10" t="n">
        <v>0.0</v>
      </c>
      <c r="Q14" s="10" t="n">
        <v>0.0</v>
      </c>
      <c r="R14" s="10" t="s">
        <f>S14-SUM(B14:Q14)</f>
      </c>
      <c r="S14" s="10" t="n">
        <v>2669545.0</v>
      </c>
      <c r="T14" s="10" t="n">
        <v>239325.0</v>
      </c>
      <c r="U14" s="10" t="n">
        <v>1886.0</v>
      </c>
      <c r="V14" s="10" t="s">
        <f>W14-SUM(T14:U14)</f>
      </c>
      <c r="W14" s="10" t="n">
        <v>241519.0</v>
      </c>
      <c r="X14" s="10" t="n">
        <v>195.0</v>
      </c>
      <c r="Y14" s="10" t="n">
        <v>187.0</v>
      </c>
      <c r="Z14" s="10" t="n">
        <v>56.0</v>
      </c>
      <c r="AA14" s="10" t="n">
        <v>14942.0</v>
      </c>
      <c r="AB14" s="10" t="n">
        <v>8.0</v>
      </c>
      <c r="AC14" s="10" t="n">
        <v>404.0</v>
      </c>
      <c r="AD14" s="10" t="n">
        <v>1908.0</v>
      </c>
      <c r="AE14" s="10" t="s">
        <f>AF14-SUM(X14:AD14)</f>
      </c>
      <c r="AF14" s="10" t="n">
        <v>17869.0</v>
      </c>
      <c r="AG14" s="10" t="n">
        <v>380.0</v>
      </c>
      <c r="AH14" s="10" t="n">
        <v>47.0</v>
      </c>
      <c r="AI14" s="10" t="n">
        <v>0.0</v>
      </c>
      <c r="AJ14" s="10" t="s">
        <f>AK14-SUM(AG14:AI14)</f>
      </c>
      <c r="AK14" s="10" t="n">
        <v>428.0</v>
      </c>
      <c r="AL14" s="10" t="n">
        <v>12685.0</v>
      </c>
      <c r="AM14" s="10" t="s">
        <f>AN14-AL14</f>
      </c>
      <c r="AN14" s="10" t="n">
        <v>12955.0</v>
      </c>
      <c r="AO14" s="10" t="n">
        <v>0.0</v>
      </c>
      <c r="AP14" s="10" t="s">
        <f>AO14+AN14+AK14+AF14+W14+S14</f>
      </c>
    </row>
    <row r="15">
      <c r="A15" s="9" t="s">
        <v>70</v>
      </c>
      <c r="B15" s="10" t="n">
        <v>1368295.0</v>
      </c>
      <c r="C15" s="10" t="n">
        <v>0.0</v>
      </c>
      <c r="D15" s="10" t="n">
        <v>0.0</v>
      </c>
      <c r="E15" s="10" t="n">
        <v>653242.0</v>
      </c>
      <c r="F15" s="10" t="n">
        <v>284902.0</v>
      </c>
      <c r="G15" s="10" t="n">
        <v>153811.0</v>
      </c>
      <c r="H15" s="10" t="n">
        <v>79820.0</v>
      </c>
      <c r="I15" s="10" t="n">
        <v>346310.0</v>
      </c>
      <c r="J15" s="10" t="n">
        <v>69527.0</v>
      </c>
      <c r="K15" s="10" t="n">
        <v>80386.0</v>
      </c>
      <c r="L15" s="10" t="n">
        <v>0.0</v>
      </c>
      <c r="M15" s="10" t="n">
        <v>0.0</v>
      </c>
      <c r="N15" s="10" t="n">
        <v>0.0</v>
      </c>
      <c r="O15" s="10" t="n">
        <v>0.0</v>
      </c>
      <c r="P15" s="10" t="n">
        <v>0.0</v>
      </c>
      <c r="Q15" s="10" t="n">
        <v>0.0</v>
      </c>
      <c r="R15" s="10" t="s">
        <f>S15-SUM(B15:Q15)</f>
      </c>
      <c r="S15" s="10" t="n">
        <v>3039090.0</v>
      </c>
      <c r="T15" s="10" t="n">
        <v>267584.0</v>
      </c>
      <c r="U15" s="10" t="n">
        <v>15671.0</v>
      </c>
      <c r="V15" s="10" t="s">
        <f>W15-SUM(T15:U15)</f>
      </c>
      <c r="W15" s="10" t="n">
        <v>284062.0</v>
      </c>
      <c r="X15" s="10" t="n">
        <v>286.0</v>
      </c>
      <c r="Y15" s="10" t="n">
        <v>698.0</v>
      </c>
      <c r="Z15" s="10" t="n">
        <v>36.0</v>
      </c>
      <c r="AA15" s="10" t="n">
        <v>14823.0</v>
      </c>
      <c r="AB15" s="10" t="n">
        <v>13.0</v>
      </c>
      <c r="AC15" s="10" t="n">
        <v>701.0</v>
      </c>
      <c r="AD15" s="10" t="n">
        <v>3436.0</v>
      </c>
      <c r="AE15" s="10" t="s">
        <f>AF15-SUM(X15:AD15)</f>
      </c>
      <c r="AF15" s="10" t="n">
        <v>20281.0</v>
      </c>
      <c r="AG15" s="10" t="n">
        <v>6662.0</v>
      </c>
      <c r="AH15" s="10" t="n">
        <v>1231.0</v>
      </c>
      <c r="AI15" s="10" t="n">
        <v>0.0</v>
      </c>
      <c r="AJ15" s="10" t="s">
        <f>AK15-SUM(AG15:AI15)</f>
      </c>
      <c r="AK15" s="10" t="n">
        <v>7894.0</v>
      </c>
      <c r="AL15" s="10" t="n">
        <v>14513.0</v>
      </c>
      <c r="AM15" s="10" t="s">
        <f>AN15-AL15</f>
      </c>
      <c r="AN15" s="10" t="n">
        <v>14749.0</v>
      </c>
      <c r="AO15" s="10" t="n">
        <v>0.0</v>
      </c>
      <c r="AP15" s="10" t="s">
        <f>AO15+AN15+AK15+AF15+W15+S15</f>
      </c>
    </row>
    <row r="16">
      <c r="A16" s="9" t="s">
        <v>76</v>
      </c>
      <c r="B16" s="10" t="n">
        <v>1747404.0</v>
      </c>
      <c r="C16" s="10" t="n">
        <v>0.0</v>
      </c>
      <c r="D16" s="10" t="n">
        <v>0.0</v>
      </c>
      <c r="E16" s="10" t="n">
        <v>748112.0</v>
      </c>
      <c r="F16" s="10" t="n">
        <v>302184.0</v>
      </c>
      <c r="G16" s="10" t="n">
        <v>220306.0</v>
      </c>
      <c r="H16" s="10" t="n">
        <v>136248.0</v>
      </c>
      <c r="I16" s="10" t="n">
        <v>359827.0</v>
      </c>
      <c r="J16" s="10" t="n">
        <v>139099.0</v>
      </c>
      <c r="K16" s="10" t="n">
        <v>110560.0</v>
      </c>
      <c r="L16" s="10" t="n">
        <v>0.0</v>
      </c>
      <c r="M16" s="10" t="n">
        <v>0.0</v>
      </c>
      <c r="N16" s="10" t="n">
        <v>0.0</v>
      </c>
      <c r="O16" s="10" t="n">
        <v>0.0</v>
      </c>
      <c r="P16" s="10" t="n">
        <v>0.0</v>
      </c>
      <c r="Q16" s="10" t="n">
        <v>0.0</v>
      </c>
      <c r="R16" s="10" t="s">
        <f>S16-SUM(B16:Q16)</f>
      </c>
      <c r="S16" s="10" t="n">
        <v>3794401.0</v>
      </c>
      <c r="T16" s="10" t="n">
        <v>286966.0</v>
      </c>
      <c r="U16" s="10" t="n">
        <v>32776.0</v>
      </c>
      <c r="V16" s="10" t="s">
        <f>W16-SUM(T16:U16)</f>
      </c>
      <c r="W16" s="10" t="n">
        <v>320678.0</v>
      </c>
      <c r="X16" s="10" t="n">
        <v>415.0</v>
      </c>
      <c r="Y16" s="10" t="n">
        <v>334.0</v>
      </c>
      <c r="Z16" s="10" t="n">
        <v>129.0</v>
      </c>
      <c r="AA16" s="10" t="n">
        <v>25104.0</v>
      </c>
      <c r="AB16" s="10" t="n">
        <v>124.0</v>
      </c>
      <c r="AC16" s="10" t="n">
        <v>819.0</v>
      </c>
      <c r="AD16" s="10" t="n">
        <v>8430.0</v>
      </c>
      <c r="AE16" s="10" t="s">
        <f>AF16-SUM(X16:AD16)</f>
      </c>
      <c r="AF16" s="10" t="n">
        <v>35729.0</v>
      </c>
      <c r="AG16" s="10" t="n">
        <v>38481.0</v>
      </c>
      <c r="AH16" s="10" t="n">
        <v>7870.0</v>
      </c>
      <c r="AI16" s="10" t="n">
        <v>0.0</v>
      </c>
      <c r="AJ16" s="10" t="s">
        <f>AK16-SUM(AG16:AI16)</f>
      </c>
      <c r="AK16" s="10" t="n">
        <v>46567.0</v>
      </c>
      <c r="AL16" s="10" t="n">
        <v>17234.0</v>
      </c>
      <c r="AM16" s="10" t="s">
        <f>AN16-AL16</f>
      </c>
      <c r="AN16" s="10" t="n">
        <v>17359.0</v>
      </c>
      <c r="AO16" s="10" t="n">
        <v>0.0</v>
      </c>
      <c r="AP16" s="10" t="s">
        <f>AO16+AN16+AK16+AF16+W16+S16</f>
      </c>
    </row>
    <row r="17">
      <c r="A17" s="9" t="s">
        <v>80</v>
      </c>
      <c r="B17" s="10" t="n">
        <v>1934831.0</v>
      </c>
      <c r="C17" s="10" t="n">
        <v>0.0</v>
      </c>
      <c r="D17" s="10" t="n">
        <v>0.0</v>
      </c>
      <c r="E17" s="10" t="n">
        <v>737100.0</v>
      </c>
      <c r="F17" s="10" t="n">
        <v>131392.0</v>
      </c>
      <c r="G17" s="10" t="n">
        <v>255542.0</v>
      </c>
      <c r="H17" s="10" t="n">
        <v>169090.0</v>
      </c>
      <c r="I17" s="10" t="n">
        <v>462823.0</v>
      </c>
      <c r="J17" s="10" t="n">
        <v>190748.0</v>
      </c>
      <c r="K17" s="10" t="n">
        <v>135729.0</v>
      </c>
      <c r="L17" s="10" t="n">
        <v>0.0</v>
      </c>
      <c r="M17" s="10" t="n">
        <v>0.0</v>
      </c>
      <c r="N17" s="10" t="n">
        <v>0.0</v>
      </c>
      <c r="O17" s="10" t="n">
        <v>0.0</v>
      </c>
      <c r="P17" s="10" t="n">
        <v>0.0</v>
      </c>
      <c r="Q17" s="10" t="n">
        <v>0.0</v>
      </c>
      <c r="R17" s="10" t="s">
        <f>S17-SUM(B17:Q17)</f>
      </c>
      <c r="S17" s="10" t="n">
        <v>4089642.0</v>
      </c>
      <c r="T17" s="10" t="n">
        <v>371750.0</v>
      </c>
      <c r="U17" s="10" t="n">
        <v>43392.0</v>
      </c>
      <c r="V17" s="10" t="s">
        <f>W17-SUM(T17:U17)</f>
      </c>
      <c r="W17" s="10" t="n">
        <v>416026.0</v>
      </c>
      <c r="X17" s="10" t="n">
        <v>4720.0</v>
      </c>
      <c r="Y17" s="10" t="n">
        <v>1439.0</v>
      </c>
      <c r="Z17" s="10" t="n">
        <v>77.0</v>
      </c>
      <c r="AA17" s="10" t="n">
        <v>23044.0</v>
      </c>
      <c r="AB17" s="10" t="n">
        <v>18.0</v>
      </c>
      <c r="AC17" s="10" t="n">
        <v>10250.0</v>
      </c>
      <c r="AD17" s="10" t="n">
        <v>6473.0</v>
      </c>
      <c r="AE17" s="10" t="s">
        <f>AF17-SUM(X17:AD17)</f>
      </c>
      <c r="AF17" s="10" t="n">
        <v>46392.0</v>
      </c>
      <c r="AG17" s="10" t="n">
        <v>74251.0</v>
      </c>
      <c r="AH17" s="10" t="n">
        <v>12122.0</v>
      </c>
      <c r="AI17" s="10" t="n">
        <v>0.0</v>
      </c>
      <c r="AJ17" s="10" t="s">
        <f>AK17-SUM(AG17:AI17)</f>
      </c>
      <c r="AK17" s="10" t="n">
        <v>86497.0</v>
      </c>
      <c r="AL17" s="10" t="n">
        <v>15673.0</v>
      </c>
      <c r="AM17" s="10" t="s">
        <f>AN17-AL17</f>
      </c>
      <c r="AN17" s="10" t="n">
        <v>15879.0</v>
      </c>
      <c r="AO17" s="10" t="n">
        <v>0.0</v>
      </c>
      <c r="AP17" s="10" t="s">
        <f>AO17+AN17+AK17+AF17+W17+S17</f>
      </c>
    </row>
    <row r="18">
      <c r="A18" s="9" t="s">
        <v>84</v>
      </c>
      <c r="B18" s="10" t="n">
        <v>1745182.0</v>
      </c>
      <c r="C18" s="10" t="n">
        <v>0.0</v>
      </c>
      <c r="D18" s="10" t="n">
        <v>0.0</v>
      </c>
      <c r="E18" s="10" t="n">
        <v>676944.0</v>
      </c>
      <c r="F18" s="10" t="n">
        <v>122853.0</v>
      </c>
      <c r="G18" s="10" t="n">
        <v>324133.0</v>
      </c>
      <c r="H18" s="10" t="n">
        <v>170395.0</v>
      </c>
      <c r="I18" s="10" t="n">
        <v>415005.0</v>
      </c>
      <c r="J18" s="10" t="n">
        <v>173321.0</v>
      </c>
      <c r="K18" s="10" t="n">
        <v>181351.0</v>
      </c>
      <c r="L18" s="10" t="n">
        <v>0.0</v>
      </c>
      <c r="M18" s="10" t="n">
        <v>0.0</v>
      </c>
      <c r="N18" s="10" t="n">
        <v>0.0</v>
      </c>
      <c r="O18" s="10" t="n">
        <v>0.0</v>
      </c>
      <c r="P18" s="10" t="n">
        <v>0.0</v>
      </c>
      <c r="Q18" s="10" t="n">
        <v>0.0</v>
      </c>
      <c r="R18" s="10" t="s">
        <f>S18-SUM(B18:Q18)</f>
      </c>
      <c r="S18" s="10" t="n">
        <v>3962965.0</v>
      </c>
      <c r="T18" s="10" t="n">
        <v>453924.0</v>
      </c>
      <c r="U18" s="10" t="n">
        <v>62166.0</v>
      </c>
      <c r="V18" s="10" t="s">
        <f>W18-SUM(T18:U18)</f>
      </c>
      <c r="W18" s="10" t="n">
        <v>518003.0</v>
      </c>
      <c r="X18" s="10" t="n">
        <v>23436.0</v>
      </c>
      <c r="Y18" s="10" t="n">
        <v>5102.0</v>
      </c>
      <c r="Z18" s="10" t="n">
        <v>258.0</v>
      </c>
      <c r="AA18" s="10" t="n">
        <v>18115.0</v>
      </c>
      <c r="AB18" s="10" t="n">
        <v>29.0</v>
      </c>
      <c r="AC18" s="10" t="n">
        <v>11348.0</v>
      </c>
      <c r="AD18" s="10" t="n">
        <v>7023.0</v>
      </c>
      <c r="AE18" s="10" t="s">
        <f>AF18-SUM(X18:AD18)</f>
      </c>
      <c r="AF18" s="10" t="n">
        <v>65579.0</v>
      </c>
      <c r="AG18" s="10" t="n">
        <v>105205.0</v>
      </c>
      <c r="AH18" s="10" t="n">
        <v>14380.0</v>
      </c>
      <c r="AI18" s="10" t="n">
        <v>0.0</v>
      </c>
      <c r="AJ18" s="10" t="s">
        <f>AK18-SUM(AG18:AI18)</f>
      </c>
      <c r="AK18" s="10" t="n">
        <v>119662.0</v>
      </c>
      <c r="AL18" s="10" t="n">
        <v>15019.0</v>
      </c>
      <c r="AM18" s="10" t="s">
        <f>AN18-AL18</f>
      </c>
      <c r="AN18" s="10" t="n">
        <v>15101.0</v>
      </c>
      <c r="AO18" s="10" t="n">
        <v>63124.0</v>
      </c>
      <c r="AP18" s="10" t="s">
        <f>AO18+AN18+AK18+AF18+W18+S18</f>
      </c>
    </row>
    <row r="19">
      <c r="A19" s="9" t="s">
        <v>50</v>
      </c>
      <c r="B19" s="10" t="n">
        <v>1909593.0</v>
      </c>
      <c r="C19" s="10" t="n">
        <v>0.0</v>
      </c>
      <c r="D19" s="10" t="n">
        <v>0.0</v>
      </c>
      <c r="E19" s="10" t="n">
        <v>498565.0</v>
      </c>
      <c r="F19" s="10" t="n">
        <v>100959.0</v>
      </c>
      <c r="G19" s="10" t="n">
        <v>336954.0</v>
      </c>
      <c r="H19" s="10" t="n">
        <v>200611.0</v>
      </c>
      <c r="I19" s="10" t="n">
        <v>402828.0</v>
      </c>
      <c r="J19" s="10" t="n">
        <v>184129.0</v>
      </c>
      <c r="K19" s="10" t="n">
        <v>168840.0</v>
      </c>
      <c r="L19" s="10" t="n">
        <v>0.0</v>
      </c>
      <c r="M19" s="10" t="n">
        <v>0.0</v>
      </c>
      <c r="N19" s="10" t="n">
        <v>0.0</v>
      </c>
      <c r="O19" s="10" t="n">
        <v>0.0</v>
      </c>
      <c r="P19" s="10" t="n">
        <v>0.0</v>
      </c>
      <c r="Q19" s="10" t="n">
        <v>0.0</v>
      </c>
      <c r="R19" s="10" t="s">
        <f>S19-SUM(B19:Q19)</f>
      </c>
      <c r="S19" s="10" t="n">
        <v>4102884.0</v>
      </c>
      <c r="T19" s="10" t="n">
        <v>522910.0</v>
      </c>
      <c r="U19" s="10" t="n">
        <v>68805.0</v>
      </c>
      <c r="V19" s="10" t="s">
        <f>W19-SUM(T19:U19)</f>
      </c>
      <c r="W19" s="10" t="n">
        <v>592548.0</v>
      </c>
      <c r="X19" s="10" t="n">
        <v>20457.0</v>
      </c>
      <c r="Y19" s="10" t="n">
        <v>23707.0</v>
      </c>
      <c r="Z19" s="10" t="n">
        <v>7391.0</v>
      </c>
      <c r="AA19" s="10" t="n">
        <v>28804.0</v>
      </c>
      <c r="AB19" s="10" t="n">
        <v>6215.0</v>
      </c>
      <c r="AC19" s="10" t="n">
        <v>36505.0</v>
      </c>
      <c r="AD19" s="10" t="n">
        <v>10489.0</v>
      </c>
      <c r="AE19" s="10" t="s">
        <f>AF19-SUM(X19:AD19)</f>
      </c>
      <c r="AF19" s="10" t="n">
        <v>133792.0</v>
      </c>
      <c r="AG19" s="10" t="n">
        <v>110749.0</v>
      </c>
      <c r="AH19" s="10" t="n">
        <v>28210.0</v>
      </c>
      <c r="AI19" s="10" t="n">
        <v>0.0</v>
      </c>
      <c r="AJ19" s="10" t="s">
        <f>AK19-SUM(AG19:AI19)</f>
      </c>
      <c r="AK19" s="10" t="n">
        <v>138959.0</v>
      </c>
      <c r="AL19" s="10" t="n">
        <v>14062.0</v>
      </c>
      <c r="AM19" s="10" t="s">
        <f>AN19-AL19</f>
      </c>
      <c r="AN19" s="10" t="n">
        <v>14062.0</v>
      </c>
      <c r="AO19" s="10" t="n">
        <v>206413.0</v>
      </c>
      <c r="AP19" s="10" t="s">
        <f>AO19+AN19+AK19+AF19+W19+S19</f>
      </c>
    </row>
    <row r="20">
      <c r="A20" s="9" t="s">
        <v>54</v>
      </c>
      <c r="B20" s="10" t="n">
        <v>2135092.0</v>
      </c>
      <c r="C20" s="10" t="n">
        <v>0.0</v>
      </c>
      <c r="D20" s="10" t="n">
        <v>0.0</v>
      </c>
      <c r="E20" s="10" t="n">
        <v>600146.0</v>
      </c>
      <c r="F20" s="10" t="n">
        <v>93602.0</v>
      </c>
      <c r="G20" s="10" t="n">
        <v>287215.0</v>
      </c>
      <c r="H20" s="10" t="n">
        <v>221639.0</v>
      </c>
      <c r="I20" s="10" t="n">
        <v>372005.0</v>
      </c>
      <c r="J20" s="10" t="n">
        <v>184294.0</v>
      </c>
      <c r="K20" s="10" t="n">
        <v>212884.0</v>
      </c>
      <c r="L20" s="10" t="n">
        <v>3742.0</v>
      </c>
      <c r="M20" s="10" t="n">
        <v>158964.0</v>
      </c>
      <c r="N20" s="10" t="n">
        <v>0.0</v>
      </c>
      <c r="O20" s="10" t="n">
        <v>0.0</v>
      </c>
      <c r="P20" s="10" t="n">
        <v>0.0</v>
      </c>
      <c r="Q20" s="10" t="n">
        <v>0.0</v>
      </c>
      <c r="R20" s="10" t="s">
        <f>S20-SUM(B20:Q20)</f>
      </c>
      <c r="S20" s="10" t="n">
        <v>4378294.0</v>
      </c>
      <c r="T20" s="10" t="n">
        <v>579488.0</v>
      </c>
      <c r="U20" s="10" t="n">
        <v>92223.0</v>
      </c>
      <c r="V20" s="10" t="s">
        <f>W20-SUM(T20:U20)</f>
      </c>
      <c r="W20" s="10" t="n">
        <v>674536.0</v>
      </c>
      <c r="X20" s="10" t="n">
        <v>26506.0</v>
      </c>
      <c r="Y20" s="10" t="n">
        <v>39658.0</v>
      </c>
      <c r="Z20" s="10" t="n">
        <v>15661.0</v>
      </c>
      <c r="AA20" s="10" t="n">
        <v>30982.0</v>
      </c>
      <c r="AB20" s="10" t="n">
        <v>10226.0</v>
      </c>
      <c r="AC20" s="10" t="n">
        <v>42202.0</v>
      </c>
      <c r="AD20" s="10" t="n">
        <v>0.0</v>
      </c>
      <c r="AE20" s="10" t="s">
        <f>AF20-SUM(X20:AD20)</f>
      </c>
      <c r="AF20" s="10" t="n">
        <v>165235.0</v>
      </c>
      <c r="AG20" s="10" t="n">
        <v>60335.0</v>
      </c>
      <c r="AH20" s="10" t="n">
        <v>50150.0</v>
      </c>
      <c r="AI20" s="10" t="n">
        <v>8960.0</v>
      </c>
      <c r="AJ20" s="10" t="s">
        <f>AK20-SUM(AG20:AI20)</f>
      </c>
      <c r="AK20" s="10" t="n">
        <v>119445.0</v>
      </c>
      <c r="AL20" s="10" t="n">
        <v>15283.0</v>
      </c>
      <c r="AM20" s="10" t="s">
        <f>AN20-AL20</f>
      </c>
      <c r="AN20" s="10" t="n">
        <v>15283.0</v>
      </c>
      <c r="AO20" s="10" t="n">
        <v>360742.0</v>
      </c>
      <c r="AP20" s="10" t="s">
        <f>AO20+AN20+AK20+AF20+W20+S20</f>
      </c>
    </row>
    <row r="21">
      <c r="A21" s="9" t="s">
        <v>59</v>
      </c>
      <c r="B21" s="10" t="n">
        <v>1948356.0</v>
      </c>
      <c r="C21" s="10" t="n">
        <v>498090.0</v>
      </c>
      <c r="D21" s="10" t="n">
        <v>0.0</v>
      </c>
      <c r="E21" s="10" t="n">
        <v>651597.0</v>
      </c>
      <c r="F21" s="10" t="n">
        <v>88244.0</v>
      </c>
      <c r="G21" s="10" t="n">
        <v>284381.0</v>
      </c>
      <c r="H21" s="10" t="n">
        <v>245599.0</v>
      </c>
      <c r="I21" s="10" t="n">
        <v>343182.0</v>
      </c>
      <c r="J21" s="10" t="n">
        <v>200097.0</v>
      </c>
      <c r="K21" s="10" t="n">
        <v>202095.0</v>
      </c>
      <c r="L21" s="10" t="n">
        <v>4452.0</v>
      </c>
      <c r="M21" s="10" t="n">
        <v>146627.0</v>
      </c>
      <c r="N21" s="10" t="n">
        <v>8867.0</v>
      </c>
      <c r="O21" s="10" t="n">
        <v>0.0</v>
      </c>
      <c r="P21" s="10" t="n">
        <v>0.0</v>
      </c>
      <c r="Q21" s="10" t="n">
        <v>0.0</v>
      </c>
      <c r="R21" s="10" t="s">
        <f>S21-SUM(B21:Q21)</f>
      </c>
      <c r="S21" s="10" t="n">
        <v>4622845.0</v>
      </c>
      <c r="T21" s="10" t="n">
        <v>588916.0</v>
      </c>
      <c r="U21" s="10" t="n">
        <v>116651.0</v>
      </c>
      <c r="V21" s="10" t="s">
        <f>W21-SUM(T21:U21)</f>
      </c>
      <c r="W21" s="10" t="n">
        <v>705567.0</v>
      </c>
      <c r="X21" s="10" t="n">
        <v>24477.0</v>
      </c>
      <c r="Y21" s="10" t="n">
        <v>46387.0</v>
      </c>
      <c r="Z21" s="10" t="n">
        <v>16564.0</v>
      </c>
      <c r="AA21" s="10" t="n">
        <v>47799.0</v>
      </c>
      <c r="AB21" s="10" t="n">
        <v>12829.0</v>
      </c>
      <c r="AC21" s="10" t="n">
        <v>39466.0</v>
      </c>
      <c r="AD21" s="10" t="n">
        <v>0.0</v>
      </c>
      <c r="AE21" s="10" t="s">
        <f>AF21-SUM(X21:AD21)</f>
      </c>
      <c r="AF21" s="10" t="n">
        <v>187522.0</v>
      </c>
      <c r="AG21" s="10" t="n">
        <v>34882.0</v>
      </c>
      <c r="AH21" s="10" t="n">
        <v>49398.0</v>
      </c>
      <c r="AI21" s="10" t="n">
        <v>5355.0</v>
      </c>
      <c r="AJ21" s="10" t="s">
        <f>AK21-SUM(AG21:AI21)</f>
      </c>
      <c r="AK21" s="10" t="n">
        <v>89635.0</v>
      </c>
      <c r="AL21" s="10" t="n">
        <v>1387.0</v>
      </c>
      <c r="AM21" s="10" t="s">
        <f>AN21-AL21</f>
      </c>
      <c r="AN21" s="10" t="n">
        <v>1387.0</v>
      </c>
      <c r="AO21" s="10" t="n">
        <v>554976.0</v>
      </c>
      <c r="AP21" s="10" t="s">
        <f>AO21+AN21+AK21+AF21+W21+S21</f>
      </c>
    </row>
    <row r="22">
      <c r="A22" s="9" t="s">
        <v>65</v>
      </c>
      <c r="B22" s="10" t="n">
        <v>1746424.0</v>
      </c>
      <c r="C22" s="10" t="n">
        <v>574973.0</v>
      </c>
      <c r="D22" s="10" t="n">
        <v>0.0</v>
      </c>
      <c r="E22" s="10" t="n">
        <v>674089.0</v>
      </c>
      <c r="F22" s="10" t="n">
        <v>87043.0</v>
      </c>
      <c r="G22" s="10" t="n">
        <v>261125.0</v>
      </c>
      <c r="H22" s="10" t="n">
        <v>253181.0</v>
      </c>
      <c r="I22" s="10" t="n">
        <v>362346.0</v>
      </c>
      <c r="J22" s="10" t="n">
        <v>188163.0</v>
      </c>
      <c r="K22" s="10" t="n">
        <v>141740.0</v>
      </c>
      <c r="L22" s="10" t="n">
        <v>2336.0</v>
      </c>
      <c r="M22" s="10" t="n">
        <v>140782.0</v>
      </c>
      <c r="N22" s="10" t="n">
        <v>25655.0</v>
      </c>
      <c r="O22" s="10" t="n">
        <v>0.0</v>
      </c>
      <c r="P22" s="10" t="n">
        <v>0.0</v>
      </c>
      <c r="Q22" s="10" t="n">
        <v>0.0</v>
      </c>
      <c r="R22" s="10" t="s">
        <f>S22-SUM(B22:Q22)</f>
      </c>
      <c r="S22" s="10" t="n">
        <v>4457945.0</v>
      </c>
      <c r="T22" s="10" t="n">
        <v>577178.0</v>
      </c>
      <c r="U22" s="10" t="n">
        <v>127393.0</v>
      </c>
      <c r="V22" s="10" t="s">
        <f>W22-SUM(T22:U22)</f>
      </c>
      <c r="W22" s="10" t="n">
        <v>704571.0</v>
      </c>
      <c r="X22" s="10" t="n">
        <v>28545.0</v>
      </c>
      <c r="Y22" s="10" t="n">
        <v>36924.0</v>
      </c>
      <c r="Z22" s="10" t="n">
        <v>12003.0</v>
      </c>
      <c r="AA22" s="10" t="n">
        <v>66909.0</v>
      </c>
      <c r="AB22" s="10" t="n">
        <v>11621.0</v>
      </c>
      <c r="AC22" s="10" t="n">
        <v>35457.0</v>
      </c>
      <c r="AD22" s="10" t="n">
        <v>3964.0</v>
      </c>
      <c r="AE22" s="10" t="s">
        <f>AF22-SUM(X22:AD22)</f>
      </c>
      <c r="AF22" s="10" t="n">
        <v>195871.0</v>
      </c>
      <c r="AG22" s="10" t="n">
        <v>35312.0</v>
      </c>
      <c r="AH22" s="10" t="n">
        <v>38391.0</v>
      </c>
      <c r="AI22" s="10" t="n">
        <v>9883.0</v>
      </c>
      <c r="AJ22" s="10" t="s">
        <f>AK22-SUM(AG22:AI22)</f>
      </c>
      <c r="AK22" s="10" t="n">
        <v>83698.0</v>
      </c>
      <c r="AL22" s="10" t="n">
        <v>0.0</v>
      </c>
      <c r="AM22" s="10" t="s">
        <f>AN22-AL22</f>
      </c>
      <c r="AN22" s="10" t="n">
        <v>0.0</v>
      </c>
      <c r="AO22" s="10" t="n">
        <v>470298.0</v>
      </c>
      <c r="AP22" s="10" t="s">
        <f>AO22+AN22+AK22+AF22+W22+S22</f>
      </c>
    </row>
    <row r="23">
      <c r="A23" s="9" t="s">
        <v>64</v>
      </c>
      <c r="B23" s="10" t="n">
        <v>1958946.0</v>
      </c>
      <c r="C23" s="10" t="n">
        <v>787750.0</v>
      </c>
      <c r="D23" s="10" t="n">
        <v>0.0</v>
      </c>
      <c r="E23" s="10" t="n">
        <v>720903.0</v>
      </c>
      <c r="F23" s="10" t="n">
        <v>89325.0</v>
      </c>
      <c r="G23" s="10" t="n">
        <v>242691.0</v>
      </c>
      <c r="H23" s="10" t="n">
        <v>254225.0</v>
      </c>
      <c r="I23" s="10" t="n">
        <v>424926.0</v>
      </c>
      <c r="J23" s="10" t="n">
        <v>139842.0</v>
      </c>
      <c r="K23" s="10" t="n">
        <v>150430.0</v>
      </c>
      <c r="L23" s="10" t="n">
        <v>3779.0</v>
      </c>
      <c r="M23" s="10" t="n">
        <v>169201.0</v>
      </c>
      <c r="N23" s="10" t="n">
        <v>26117.0</v>
      </c>
      <c r="O23" s="10" t="n">
        <v>0.0</v>
      </c>
      <c r="P23" s="10" t="n">
        <v>0.0</v>
      </c>
      <c r="Q23" s="10" t="n">
        <v>0.0</v>
      </c>
      <c r="R23" s="10" t="s">
        <f>S23-SUM(B23:Q23)</f>
      </c>
      <c r="S23" s="10" t="n">
        <v>4968220.0</v>
      </c>
      <c r="T23" s="10" t="n">
        <v>563991.0</v>
      </c>
      <c r="U23" s="10" t="n">
        <v>169897.0</v>
      </c>
      <c r="V23" s="10" t="s">
        <f>W23-SUM(T23:U23)</f>
      </c>
      <c r="W23" s="10" t="n">
        <v>733888.0</v>
      </c>
      <c r="X23" s="10" t="n">
        <v>21468.0</v>
      </c>
      <c r="Y23" s="10" t="n">
        <v>9436.0</v>
      </c>
      <c r="Z23" s="10" t="n">
        <v>12864.0</v>
      </c>
      <c r="AA23" s="10" t="n">
        <v>107682.0</v>
      </c>
      <c r="AB23" s="10" t="n">
        <v>16794.0</v>
      </c>
      <c r="AC23" s="10" t="n">
        <v>36393.0</v>
      </c>
      <c r="AD23" s="10" t="n">
        <v>20428.0</v>
      </c>
      <c r="AE23" s="10" t="s">
        <f>AF23-SUM(X23:AD23)</f>
      </c>
      <c r="AF23" s="10" t="n">
        <v>225065.0</v>
      </c>
      <c r="AG23" s="10" t="n">
        <v>58097.0</v>
      </c>
      <c r="AH23" s="10" t="n">
        <v>28933.0</v>
      </c>
      <c r="AI23" s="10" t="n">
        <v>9936.0</v>
      </c>
      <c r="AJ23" s="10" t="s">
        <f>AK23-SUM(AG23:AI23)</f>
      </c>
      <c r="AK23" s="10" t="n">
        <v>96966.0</v>
      </c>
      <c r="AL23" s="10" t="n">
        <v>0.0</v>
      </c>
      <c r="AM23" s="10" t="s">
        <f>AN23-AL23</f>
      </c>
      <c r="AN23" s="10" t="n">
        <v>0.0</v>
      </c>
      <c r="AO23" s="10" t="n">
        <v>534524.0</v>
      </c>
      <c r="AP23" s="10" t="s">
        <f>AO23+AN23+AK23+AF23+W23+S23</f>
      </c>
    </row>
    <row r="24">
      <c r="A24" s="9" t="s">
        <v>66</v>
      </c>
      <c r="B24" s="10" t="n">
        <v>2311095.0</v>
      </c>
      <c r="C24" s="10" t="n">
        <v>1032638.0</v>
      </c>
      <c r="D24" s="10" t="n">
        <v>0.0</v>
      </c>
      <c r="E24" s="10" t="n">
        <v>811388.0</v>
      </c>
      <c r="F24" s="10" t="n">
        <v>108831.0</v>
      </c>
      <c r="G24" s="10" t="n">
        <v>234339.0</v>
      </c>
      <c r="H24" s="10" t="n">
        <v>299664.0</v>
      </c>
      <c r="I24" s="10" t="n">
        <v>557184.0</v>
      </c>
      <c r="J24" s="10" t="n">
        <v>38933.0</v>
      </c>
      <c r="K24" s="10" t="n">
        <v>221286.0</v>
      </c>
      <c r="L24" s="10" t="n">
        <v>9105.0</v>
      </c>
      <c r="M24" s="10" t="n">
        <v>199470.0</v>
      </c>
      <c r="N24" s="10" t="n">
        <v>26251.0</v>
      </c>
      <c r="O24" s="10" t="n">
        <v>0.0</v>
      </c>
      <c r="P24" s="10" t="n">
        <v>0.0</v>
      </c>
      <c r="Q24" s="10" t="n">
        <v>0.0</v>
      </c>
      <c r="R24" s="10" t="s">
        <f>S24-SUM(B24:Q24)</f>
      </c>
      <c r="S24" s="10" t="n">
        <v>5853619.0</v>
      </c>
      <c r="T24" s="10" t="n">
        <v>651134.0</v>
      </c>
      <c r="U24" s="10" t="n">
        <v>181409.0</v>
      </c>
      <c r="V24" s="10" t="s">
        <f>W24-SUM(T24:U24)</f>
      </c>
      <c r="W24" s="10" t="n">
        <v>832543.0</v>
      </c>
      <c r="X24" s="10" t="n">
        <v>22958.0</v>
      </c>
      <c r="Y24" s="10" t="n">
        <v>13925.0</v>
      </c>
      <c r="Z24" s="10" t="n">
        <v>15138.0</v>
      </c>
      <c r="AA24" s="10" t="n">
        <v>137021.0</v>
      </c>
      <c r="AB24" s="10" t="n">
        <v>20256.0</v>
      </c>
      <c r="AC24" s="10" t="n">
        <v>40277.0</v>
      </c>
      <c r="AD24" s="10" t="n">
        <v>22874.0</v>
      </c>
      <c r="AE24" s="10" t="s">
        <f>AF24-SUM(X24:AD24)</f>
      </c>
      <c r="AF24" s="10" t="n">
        <v>272449.0</v>
      </c>
      <c r="AG24" s="10" t="n">
        <v>51874.0</v>
      </c>
      <c r="AH24" s="10" t="n">
        <v>50779.0</v>
      </c>
      <c r="AI24" s="10" t="n">
        <v>13885.0</v>
      </c>
      <c r="AJ24" s="10" t="s">
        <f>AK24-SUM(AG24:AI24)</f>
      </c>
      <c r="AK24" s="10" t="n">
        <v>116538.0</v>
      </c>
      <c r="AL24" s="10" t="n">
        <v>0.0</v>
      </c>
      <c r="AM24" s="10" t="s">
        <f>AN24-AL24</f>
      </c>
      <c r="AN24" s="10" t="n">
        <v>0.0</v>
      </c>
      <c r="AO24" s="10" t="n">
        <v>253635.0</v>
      </c>
      <c r="AP24" s="10" t="s">
        <f>AO24+AN24+AK24+AF24+W24+S24</f>
      </c>
    </row>
    <row r="25">
      <c r="A25" s="9" t="s">
        <v>69</v>
      </c>
      <c r="B25" s="10" t="n">
        <v>2320843.0</v>
      </c>
      <c r="C25" s="10" t="n">
        <v>1174575.0</v>
      </c>
      <c r="D25" s="10" t="n">
        <v>0.0</v>
      </c>
      <c r="E25" s="10" t="n">
        <v>765247.0</v>
      </c>
      <c r="F25" s="10" t="n">
        <v>115623.0</v>
      </c>
      <c r="G25" s="10" t="n">
        <v>210982.0</v>
      </c>
      <c r="H25" s="10" t="n">
        <v>248552.0</v>
      </c>
      <c r="I25" s="10" t="n">
        <v>558173.0</v>
      </c>
      <c r="J25" s="10" t="n">
        <v>100014.0</v>
      </c>
      <c r="K25" s="10" t="n">
        <v>233636.0</v>
      </c>
      <c r="L25" s="10" t="n">
        <v>8611.0</v>
      </c>
      <c r="M25" s="10" t="n">
        <v>191948.0</v>
      </c>
      <c r="N25" s="10" t="n">
        <v>21923.0</v>
      </c>
      <c r="O25" s="10" t="n">
        <v>0.0</v>
      </c>
      <c r="P25" s="10" t="n">
        <v>0.0</v>
      </c>
      <c r="Q25" s="10" t="n">
        <v>0.0</v>
      </c>
      <c r="R25" s="10" t="s">
        <f>S25-SUM(B25:Q25)</f>
      </c>
      <c r="S25" s="10" t="n">
        <v>5959082.0</v>
      </c>
      <c r="T25" s="10" t="n">
        <v>532010.0</v>
      </c>
      <c r="U25" s="10" t="n">
        <v>141893.0</v>
      </c>
      <c r="V25" s="10" t="s">
        <f>W25-SUM(T25:U25)</f>
      </c>
      <c r="W25" s="10" t="n">
        <v>673906.0</v>
      </c>
      <c r="X25" s="10" t="n">
        <v>24745.0</v>
      </c>
      <c r="Y25" s="10" t="n">
        <v>15494.0</v>
      </c>
      <c r="Z25" s="10" t="n">
        <v>15625.0</v>
      </c>
      <c r="AA25" s="10" t="n">
        <v>135484.0</v>
      </c>
      <c r="AB25" s="10" t="n">
        <v>15654.0</v>
      </c>
      <c r="AC25" s="10" t="n">
        <v>19487.0</v>
      </c>
      <c r="AD25" s="10" t="n">
        <v>19883.0</v>
      </c>
      <c r="AE25" s="10" t="s">
        <f>AF25-SUM(X25:AD25)</f>
      </c>
      <c r="AF25" s="10" t="n">
        <v>246659.0</v>
      </c>
      <c r="AG25" s="10" t="n">
        <v>87427.0</v>
      </c>
      <c r="AH25" s="10" t="n">
        <v>30703.0</v>
      </c>
      <c r="AI25" s="10" t="n">
        <v>13680.0</v>
      </c>
      <c r="AJ25" s="10" t="s">
        <f>AK25-SUM(AG25:AI25)</f>
      </c>
      <c r="AK25" s="10" t="n">
        <v>131810.0</v>
      </c>
      <c r="AL25" s="10" t="n">
        <v>0.0</v>
      </c>
      <c r="AM25" s="10" t="s">
        <f>AN25-AL25</f>
      </c>
      <c r="AN25" s="10" t="n">
        <v>0.0</v>
      </c>
      <c r="AO25" s="10" t="n">
        <v>141420.0</v>
      </c>
      <c r="AP25" s="10" t="s">
        <f>AO25+AN25+AK25+AF25+W25+S25</f>
      </c>
    </row>
    <row r="26">
      <c r="A26" s="9" t="s">
        <v>72</v>
      </c>
      <c r="B26" s="10" t="n">
        <v>2418872.0</v>
      </c>
      <c r="C26" s="10" t="n">
        <v>1269840.0</v>
      </c>
      <c r="D26" s="10" t="n">
        <v>0.0</v>
      </c>
      <c r="E26" s="10" t="n">
        <v>797460.0</v>
      </c>
      <c r="F26" s="10" t="n">
        <v>120208.0</v>
      </c>
      <c r="G26" s="10" t="n">
        <v>190455.0</v>
      </c>
      <c r="H26" s="10" t="n">
        <v>186791.0</v>
      </c>
      <c r="I26" s="10" t="n">
        <v>530945.0</v>
      </c>
      <c r="J26" s="10" t="n">
        <v>128158.0</v>
      </c>
      <c r="K26" s="10" t="n">
        <v>259610.0</v>
      </c>
      <c r="L26" s="10" t="n">
        <v>5850.0</v>
      </c>
      <c r="M26" s="10" t="n">
        <v>225733.0</v>
      </c>
      <c r="N26" s="10" t="n">
        <v>19814.0</v>
      </c>
      <c r="O26" s="10" t="n">
        <v>0.0</v>
      </c>
      <c r="P26" s="10" t="n">
        <v>0.0</v>
      </c>
      <c r="Q26" s="10" t="n">
        <v>0.0</v>
      </c>
      <c r="R26" s="10" t="s">
        <f>S26-SUM(B26:Q26)</f>
      </c>
      <c r="S26" s="10" t="n">
        <v>6169631.0</v>
      </c>
      <c r="T26" s="10" t="n">
        <v>532180.0</v>
      </c>
      <c r="U26" s="10" t="n">
        <v>132605.0</v>
      </c>
      <c r="V26" s="10" t="s">
        <f>W26-SUM(T26:U26)</f>
      </c>
      <c r="W26" s="10" t="n">
        <v>664794.0</v>
      </c>
      <c r="X26" s="10" t="n">
        <v>28967.0</v>
      </c>
      <c r="Y26" s="10" t="n">
        <v>18911.0</v>
      </c>
      <c r="Z26" s="10" t="n">
        <v>16346.0</v>
      </c>
      <c r="AA26" s="10" t="n">
        <v>129124.0</v>
      </c>
      <c r="AB26" s="10" t="n">
        <v>4.0</v>
      </c>
      <c r="AC26" s="10" t="n">
        <v>25764.0</v>
      </c>
      <c r="AD26" s="10" t="n">
        <v>24654.0</v>
      </c>
      <c r="AE26" s="10" t="s">
        <f>AF26-SUM(X26:AD26)</f>
      </c>
      <c r="AF26" s="10" t="n">
        <v>244541.0</v>
      </c>
      <c r="AG26" s="10" t="n">
        <v>70141.0</v>
      </c>
      <c r="AH26" s="10" t="n">
        <v>35758.0</v>
      </c>
      <c r="AI26" s="10" t="n">
        <v>15812.0</v>
      </c>
      <c r="AJ26" s="10" t="s">
        <f>AK26-SUM(AG26:AI26)</f>
      </c>
      <c r="AK26" s="10" t="n">
        <v>121711.0</v>
      </c>
      <c r="AL26" s="10" t="n">
        <v>0.0</v>
      </c>
      <c r="AM26" s="10" t="s">
        <f>AN26-AL26</f>
      </c>
      <c r="AN26" s="10" t="n">
        <v>0.0</v>
      </c>
      <c r="AO26" s="10" t="n">
        <v>118789.0</v>
      </c>
      <c r="AP26" s="10" t="s">
        <f>AO26+AN26+AK26+AF26+W26+S26</f>
      </c>
    </row>
    <row r="27">
      <c r="A27" s="9" t="s">
        <v>52</v>
      </c>
      <c r="B27" s="10" t="n">
        <v>1869069.0</v>
      </c>
      <c r="C27" s="10" t="n">
        <v>837936.0</v>
      </c>
      <c r="D27" s="10" t="n">
        <v>0.0</v>
      </c>
      <c r="E27" s="10" t="n">
        <v>731330.0</v>
      </c>
      <c r="F27" s="10" t="n">
        <v>179893.0</v>
      </c>
      <c r="G27" s="10" t="n">
        <v>125491.0</v>
      </c>
      <c r="H27" s="10" t="n">
        <v>121267.0</v>
      </c>
      <c r="I27" s="10" t="n">
        <v>392414.0</v>
      </c>
      <c r="J27" s="10" t="n">
        <v>91418.0</v>
      </c>
      <c r="K27" s="10" t="n">
        <v>251284.0</v>
      </c>
      <c r="L27" s="10" t="n">
        <v>3770.0</v>
      </c>
      <c r="M27" s="10" t="n">
        <v>222487.0</v>
      </c>
      <c r="N27" s="10" t="n">
        <v>17152.0</v>
      </c>
      <c r="O27" s="10" t="n">
        <v>0.0</v>
      </c>
      <c r="P27" s="10" t="n">
        <v>0.0</v>
      </c>
      <c r="Q27" s="10" t="n">
        <v>0.0</v>
      </c>
      <c r="R27" s="10" t="s">
        <f>S27-SUM(B27:Q27)</f>
      </c>
      <c r="S27" s="10" t="n">
        <v>4852745.0</v>
      </c>
      <c r="T27" s="10" t="n">
        <v>479264.0</v>
      </c>
      <c r="U27" s="10" t="n">
        <v>95226.0</v>
      </c>
      <c r="V27" s="10" t="s">
        <f>W27-SUM(T27:U27)</f>
      </c>
      <c r="W27" s="10" t="n">
        <v>574501.0</v>
      </c>
      <c r="X27" s="10" t="n">
        <v>24245.0</v>
      </c>
      <c r="Y27" s="10" t="n">
        <v>20524.0</v>
      </c>
      <c r="Z27" s="10" t="n">
        <v>16367.0</v>
      </c>
      <c r="AA27" s="10" t="n">
        <v>105885.0</v>
      </c>
      <c r="AB27" s="10" t="n">
        <v>2.0</v>
      </c>
      <c r="AC27" s="10" t="n">
        <v>23432.0</v>
      </c>
      <c r="AD27" s="10" t="n">
        <v>21754.0</v>
      </c>
      <c r="AE27" s="10" t="s">
        <f>AF27-SUM(X27:AD27)</f>
      </c>
      <c r="AF27" s="10" t="n">
        <v>212216.0</v>
      </c>
      <c r="AG27" s="10" t="n">
        <v>70679.0</v>
      </c>
      <c r="AH27" s="10" t="n">
        <v>24819.0</v>
      </c>
      <c r="AI27" s="10" t="n">
        <v>28388.0</v>
      </c>
      <c r="AJ27" s="10" t="s">
        <f>AK27-SUM(AG27:AI27)</f>
      </c>
      <c r="AK27" s="10" t="n">
        <v>123886.0</v>
      </c>
      <c r="AL27" s="10" t="n">
        <v>0.0</v>
      </c>
      <c r="AM27" s="10" t="s">
        <f>AN27-AL27</f>
      </c>
      <c r="AN27" s="10" t="n">
        <v>0.0</v>
      </c>
      <c r="AO27" s="10" t="n">
        <v>159724.0</v>
      </c>
      <c r="AP27" s="10" t="s">
        <f>AO27+AN27+AK27+AF27+W27+S27</f>
      </c>
    </row>
    <row r="28">
      <c r="A28" s="9" t="s">
        <v>56</v>
      </c>
      <c r="B28" s="10" t="n">
        <v>2559705.0</v>
      </c>
      <c r="C28" s="10" t="n">
        <v>1038006.0</v>
      </c>
      <c r="D28" s="10" t="n">
        <v>0.0</v>
      </c>
      <c r="E28" s="10" t="n">
        <v>1051954.0</v>
      </c>
      <c r="F28" s="10" t="n">
        <v>298325.0</v>
      </c>
      <c r="G28" s="10" t="n">
        <v>160088.0</v>
      </c>
      <c r="H28" s="10" t="n">
        <v>180883.0</v>
      </c>
      <c r="I28" s="10" t="n">
        <v>422189.0</v>
      </c>
      <c r="J28" s="10" t="n">
        <v>112552.0</v>
      </c>
      <c r="K28" s="10" t="n">
        <v>283757.0</v>
      </c>
      <c r="L28" s="10" t="n">
        <v>5795.0</v>
      </c>
      <c r="M28" s="10" t="n">
        <v>266115.0</v>
      </c>
      <c r="N28" s="10" t="n">
        <v>18064.0</v>
      </c>
      <c r="O28" s="10" t="n">
        <v>0.0</v>
      </c>
      <c r="P28" s="10" t="n">
        <v>0.0</v>
      </c>
      <c r="Q28" s="10" t="n">
        <v>0.0</v>
      </c>
      <c r="R28" s="10" t="s">
        <f>S28-SUM(B28:Q28)</f>
      </c>
      <c r="S28" s="10" t="n">
        <v>6428530.0</v>
      </c>
      <c r="T28" s="10" t="n">
        <v>536217.0</v>
      </c>
      <c r="U28" s="10" t="n">
        <v>112413.0</v>
      </c>
      <c r="V28" s="10" t="s">
        <f>W28-SUM(T28:U28)</f>
      </c>
      <c r="W28" s="10" t="n">
        <v>648630.0</v>
      </c>
      <c r="X28" s="10" t="n">
        <v>26423.0</v>
      </c>
      <c r="Y28" s="10" t="n">
        <v>25160.0</v>
      </c>
      <c r="Z28" s="10" t="n">
        <v>24484.0</v>
      </c>
      <c r="AA28" s="10" t="n">
        <v>128162.0</v>
      </c>
      <c r="AB28" s="10" t="n">
        <v>0.0</v>
      </c>
      <c r="AC28" s="10" t="n">
        <v>34071.0</v>
      </c>
      <c r="AD28" s="10" t="n">
        <v>22045.0</v>
      </c>
      <c r="AE28" s="10" t="s">
        <f>AF28-SUM(X28:AD28)</f>
      </c>
      <c r="AF28" s="10" t="n">
        <v>260345.0</v>
      </c>
      <c r="AG28" s="10" t="n">
        <v>75957.0</v>
      </c>
      <c r="AH28" s="10" t="n">
        <v>21047.0</v>
      </c>
      <c r="AI28" s="10" t="n">
        <v>41909.0</v>
      </c>
      <c r="AJ28" s="10" t="s">
        <f>AK28-SUM(AG28:AI28)</f>
      </c>
      <c r="AK28" s="10" t="n">
        <v>138913.0</v>
      </c>
      <c r="AL28" s="10" t="n">
        <v>0.0</v>
      </c>
      <c r="AM28" s="10" t="s">
        <f>AN28-AL28</f>
      </c>
      <c r="AN28" s="10" t="n">
        <v>0.0</v>
      </c>
      <c r="AO28" s="10" t="n">
        <v>304234.0</v>
      </c>
      <c r="AP28" s="10" t="s">
        <f>AO28+AN28+AK28+AF28+W28+S28</f>
      </c>
    </row>
    <row r="29">
      <c r="A29" s="9" t="s">
        <v>58</v>
      </c>
      <c r="B29" s="10" t="n">
        <v>2807027.0</v>
      </c>
      <c r="C29" s="10" t="n">
        <v>1163822.0</v>
      </c>
      <c r="D29" s="10" t="n">
        <v>0.0</v>
      </c>
      <c r="E29" s="10" t="n">
        <v>1180406.0</v>
      </c>
      <c r="F29" s="10" t="n">
        <v>368206.0</v>
      </c>
      <c r="G29" s="10" t="n">
        <v>184926.0</v>
      </c>
      <c r="H29" s="10" t="n">
        <v>161296.0</v>
      </c>
      <c r="I29" s="10" t="n">
        <v>268231.0</v>
      </c>
      <c r="J29" s="10" t="n">
        <v>119125.0</v>
      </c>
      <c r="K29" s="10" t="n">
        <v>185348.0</v>
      </c>
      <c r="L29" s="10" t="n">
        <v>296.0</v>
      </c>
      <c r="M29" s="10" t="n">
        <v>234009.0</v>
      </c>
      <c r="N29" s="10" t="n">
        <v>15518.0</v>
      </c>
      <c r="O29" s="10" t="n">
        <v>0.0</v>
      </c>
      <c r="P29" s="10" t="n">
        <v>0.0</v>
      </c>
      <c r="Q29" s="10" t="n">
        <v>0.0</v>
      </c>
      <c r="R29" s="10" t="s">
        <f>S29-SUM(B29:Q29)</f>
      </c>
      <c r="S29" s="10" t="n">
        <v>6740421.0</v>
      </c>
      <c r="T29" s="10" t="n">
        <v>578998.0</v>
      </c>
      <c r="U29" s="10" t="n">
        <v>104346.0</v>
      </c>
      <c r="V29" s="10" t="s">
        <f>W29-SUM(T29:U29)</f>
      </c>
      <c r="W29" s="10" t="n">
        <v>683344.0</v>
      </c>
      <c r="X29" s="10" t="n">
        <v>26696.0</v>
      </c>
      <c r="Y29" s="10" t="n">
        <v>33911.0</v>
      </c>
      <c r="Z29" s="10" t="n">
        <v>25809.0</v>
      </c>
      <c r="AA29" s="10" t="n">
        <v>121728.0</v>
      </c>
      <c r="AB29" s="10" t="n">
        <v>0.0</v>
      </c>
      <c r="AC29" s="10" t="n">
        <v>33831.0</v>
      </c>
      <c r="AD29" s="10" t="n">
        <v>39047.0</v>
      </c>
      <c r="AE29" s="10" t="s">
        <f>AF29-SUM(X29:AD29)</f>
      </c>
      <c r="AF29" s="10" t="n">
        <v>281022.0</v>
      </c>
      <c r="AG29" s="10" t="n">
        <v>87912.0</v>
      </c>
      <c r="AH29" s="10" t="n">
        <v>20742.0</v>
      </c>
      <c r="AI29" s="10" t="n">
        <v>31012.0</v>
      </c>
      <c r="AJ29" s="10" t="s">
        <f>AK29-SUM(AG29:AI29)</f>
      </c>
      <c r="AK29" s="10" t="n">
        <v>139666.0</v>
      </c>
      <c r="AL29" s="10" t="n">
        <v>0.0</v>
      </c>
      <c r="AM29" s="10" t="s">
        <f>AN29-AL29</f>
      </c>
      <c r="AN29" s="10" t="n">
        <v>0.0</v>
      </c>
      <c r="AO29" s="10" t="n">
        <v>363672.0</v>
      </c>
      <c r="AP29" s="10" t="s">
        <f>AO29+AN29+AK29+AF29+W29+S29</f>
      </c>
    </row>
    <row r="30">
      <c r="A30" s="9" t="s">
        <v>61</v>
      </c>
      <c r="B30" s="10" t="n">
        <v>2993317.0</v>
      </c>
      <c r="C30" s="10" t="n">
        <v>1232232.0</v>
      </c>
      <c r="D30" s="10" t="n">
        <v>0.0</v>
      </c>
      <c r="E30" s="10" t="n">
        <v>1214058.0</v>
      </c>
      <c r="F30" s="10" t="n">
        <v>396705.0</v>
      </c>
      <c r="G30" s="10" t="n">
        <v>204834.0</v>
      </c>
      <c r="H30" s="10" t="n">
        <v>181911.0</v>
      </c>
      <c r="I30" s="10" t="n">
        <v>379275.0</v>
      </c>
      <c r="J30" s="10" t="n">
        <v>110041.0</v>
      </c>
      <c r="K30" s="10" t="n">
        <v>186165.0</v>
      </c>
      <c r="L30" s="10" t="n">
        <v>276.0</v>
      </c>
      <c r="M30" s="10" t="n">
        <v>242852.0</v>
      </c>
      <c r="N30" s="10" t="n">
        <v>14606.0</v>
      </c>
      <c r="O30" s="10" t="n">
        <v>0.0</v>
      </c>
      <c r="P30" s="10" t="n">
        <v>0.0</v>
      </c>
      <c r="Q30" s="10" t="n">
        <v>0.0</v>
      </c>
      <c r="R30" s="10" t="s">
        <f>S30-SUM(B30:Q30)</f>
      </c>
      <c r="S30" s="10" t="n">
        <v>7248944.0</v>
      </c>
      <c r="T30" s="10" t="n">
        <v>593794.0</v>
      </c>
      <c r="U30" s="10" t="n">
        <v>93244.0</v>
      </c>
      <c r="V30" s="10" t="s">
        <f>W30-SUM(T30:U30)</f>
      </c>
      <c r="W30" s="10" t="n">
        <v>687038.0</v>
      </c>
      <c r="X30" s="10" t="n">
        <v>29287.0</v>
      </c>
      <c r="Y30" s="10" t="n">
        <v>33651.0</v>
      </c>
      <c r="Z30" s="10" t="n">
        <v>20552.0</v>
      </c>
      <c r="AA30" s="10" t="n">
        <v>93422.0</v>
      </c>
      <c r="AB30" s="10" t="n">
        <v>0.0</v>
      </c>
      <c r="AC30" s="10" t="n">
        <v>39255.0</v>
      </c>
      <c r="AD30" s="10" t="n">
        <v>42096.0</v>
      </c>
      <c r="AE30" s="10" t="s">
        <f>AF30-SUM(X30:AD30)</f>
      </c>
      <c r="AF30" s="10" t="n">
        <v>258263.0</v>
      </c>
      <c r="AG30" s="10" t="n">
        <v>76424.0</v>
      </c>
      <c r="AH30" s="10" t="n">
        <v>21495.0</v>
      </c>
      <c r="AI30" s="10" t="n">
        <v>26685.0</v>
      </c>
      <c r="AJ30" s="10" t="s">
        <f>AK30-SUM(AG30:AI30)</f>
      </c>
      <c r="AK30" s="10" t="n">
        <v>124604.0</v>
      </c>
      <c r="AL30" s="10" t="n">
        <v>0.0</v>
      </c>
      <c r="AM30" s="10" t="s">
        <f>AN30-AL30</f>
      </c>
      <c r="AN30" s="10" t="n">
        <v>0.0</v>
      </c>
      <c r="AO30" s="10" t="n">
        <v>352526.0</v>
      </c>
      <c r="AP30" s="10" t="s">
        <f>AO30+AN30+AK30+AF30+W30+S30</f>
      </c>
    </row>
    <row r="31">
      <c r="A31" s="9" t="s">
        <v>87</v>
      </c>
      <c r="B31" s="10" t="n">
        <v>3030971.0</v>
      </c>
      <c r="C31" s="10" t="n">
        <v>1196110.0</v>
      </c>
      <c r="D31" s="10" t="n">
        <v>0.0</v>
      </c>
      <c r="E31" s="10" t="n">
        <v>1280853.0</v>
      </c>
      <c r="F31" s="10" t="n">
        <v>457095.0</v>
      </c>
      <c r="G31" s="10" t="n">
        <v>189835.0</v>
      </c>
      <c r="H31" s="10" t="n">
        <v>187788.0</v>
      </c>
      <c r="I31" s="10" t="n">
        <v>353439.0</v>
      </c>
      <c r="J31" s="10" t="n">
        <v>107824.0</v>
      </c>
      <c r="K31" s="10" t="n">
        <v>201358.0</v>
      </c>
      <c r="L31" s="10" t="n">
        <v>670.0</v>
      </c>
      <c r="M31" s="10" t="n">
        <v>272020.0</v>
      </c>
      <c r="N31" s="10" t="n">
        <v>13336.0</v>
      </c>
      <c r="O31" s="10" t="n">
        <v>0.0</v>
      </c>
      <c r="P31" s="10" t="n">
        <v>0.0</v>
      </c>
      <c r="Q31" s="10" t="n">
        <v>0.0</v>
      </c>
      <c r="R31" s="10" t="s">
        <f>S31-SUM(B31:Q31)</f>
      </c>
      <c r="S31" s="10" t="n">
        <v>7442577.0</v>
      </c>
      <c r="T31" s="10" t="n">
        <v>587872.0</v>
      </c>
      <c r="U31" s="10" t="n">
        <v>87161.0</v>
      </c>
      <c r="V31" s="10" t="s">
        <f>W31-SUM(T31:U31)</f>
      </c>
      <c r="W31" s="10" t="n">
        <v>675033.0</v>
      </c>
      <c r="X31" s="10" t="n">
        <v>27973.0</v>
      </c>
      <c r="Y31" s="10" t="n">
        <v>37105.0</v>
      </c>
      <c r="Z31" s="10" t="n">
        <v>17175.0</v>
      </c>
      <c r="AA31" s="10" t="n">
        <v>85352.0</v>
      </c>
      <c r="AB31" s="10" t="n">
        <v>0.0</v>
      </c>
      <c r="AC31" s="10" t="n">
        <v>38310.0</v>
      </c>
      <c r="AD31" s="10" t="n">
        <v>38107.0</v>
      </c>
      <c r="AE31" s="10" t="s">
        <f>AF31-SUM(X31:AD31)</f>
      </c>
      <c r="AF31" s="10" t="n">
        <v>244497.0</v>
      </c>
      <c r="AG31" s="10" t="n">
        <v>75408.0</v>
      </c>
      <c r="AH31" s="10" t="n">
        <v>17565.0</v>
      </c>
      <c r="AI31" s="10" t="n">
        <v>28238.0</v>
      </c>
      <c r="AJ31" s="10" t="s">
        <f>AK31-SUM(AG31:AI31)</f>
      </c>
      <c r="AK31" s="10" t="n">
        <v>121340.0</v>
      </c>
      <c r="AL31" s="10" t="n">
        <v>1.0</v>
      </c>
      <c r="AM31" s="10" t="s">
        <f>AN31-AL31</f>
      </c>
      <c r="AN31" s="10" t="n">
        <v>1.0</v>
      </c>
      <c r="AO31" s="10" t="n">
        <v>480264.0</v>
      </c>
      <c r="AP31" s="10" t="s">
        <f>AO31+AN31+AK31+AF31+W31+S31</f>
      </c>
    </row>
    <row r="32">
      <c r="A32" s="9" t="s">
        <v>89</v>
      </c>
      <c r="B32" s="10" t="n">
        <v>2851170.0</v>
      </c>
      <c r="C32" s="10" t="n">
        <v>926593.0</v>
      </c>
      <c r="D32" s="10" t="n">
        <v>188744.0</v>
      </c>
      <c r="E32" s="10" t="n">
        <v>1309847.0</v>
      </c>
      <c r="F32" s="10" t="n">
        <v>363122.0</v>
      </c>
      <c r="G32" s="10" t="n">
        <v>167479.0</v>
      </c>
      <c r="H32" s="10" t="n">
        <v>157650.0</v>
      </c>
      <c r="I32" s="10" t="n">
        <v>332997.0</v>
      </c>
      <c r="J32" s="10" t="n">
        <v>114155.0</v>
      </c>
      <c r="K32" s="10" t="n">
        <v>186117.0</v>
      </c>
      <c r="L32" s="10" t="n">
        <v>1233.0</v>
      </c>
      <c r="M32" s="10" t="n">
        <v>285263.0</v>
      </c>
      <c r="N32" s="10" t="n">
        <v>10608.0</v>
      </c>
      <c r="O32" s="10" t="n">
        <v>51480.0</v>
      </c>
      <c r="P32" s="10" t="n">
        <v>14.0</v>
      </c>
      <c r="Q32" s="10" t="n">
        <v>198.0</v>
      </c>
      <c r="R32" s="10" t="s">
        <f>S32-SUM(B32:Q32)</f>
      </c>
      <c r="S32" s="10" t="n">
        <v>6973043.0</v>
      </c>
      <c r="T32" s="10" t="n">
        <v>515590.0</v>
      </c>
      <c r="U32" s="10" t="n">
        <v>65393.0</v>
      </c>
      <c r="V32" s="10" t="s">
        <f>W32-SUM(T32:U32)</f>
      </c>
      <c r="W32" s="10" t="n">
        <v>580983.0</v>
      </c>
      <c r="X32" s="10" t="n">
        <v>442.0</v>
      </c>
      <c r="Y32" s="10" t="n">
        <v>38205.0</v>
      </c>
      <c r="Z32" s="10" t="n">
        <v>14656.0</v>
      </c>
      <c r="AA32" s="10" t="n">
        <v>98321.0</v>
      </c>
      <c r="AB32" s="10" t="n">
        <v>169.0</v>
      </c>
      <c r="AC32" s="10" t="n">
        <v>39114.0</v>
      </c>
      <c r="AD32" s="10" t="n">
        <v>34080.0</v>
      </c>
      <c r="AE32" s="10" t="s">
        <f>AF32-SUM(X32:AD32)</f>
      </c>
      <c r="AF32" s="10" t="n">
        <v>225023.0</v>
      </c>
      <c r="AG32" s="10" t="n">
        <v>66543.0</v>
      </c>
      <c r="AH32" s="10" t="n">
        <v>10732.0</v>
      </c>
      <c r="AI32" s="10" t="n">
        <v>15918.0</v>
      </c>
      <c r="AJ32" s="10" t="s">
        <f>AK32-SUM(AG32:AI32)</f>
      </c>
      <c r="AK32" s="10" t="n">
        <v>93221.0</v>
      </c>
      <c r="AL32" s="10" t="n">
        <v>38.0</v>
      </c>
      <c r="AM32" s="10" t="s">
        <f>AN32-AL32</f>
      </c>
      <c r="AN32" s="10" t="n">
        <v>40.0</v>
      </c>
      <c r="AO32" s="10" t="n">
        <v>592862.0</v>
      </c>
      <c r="AP32" s="10" t="s">
        <f>AO32+AN32+AK32+AF32+W32+S32</f>
      </c>
    </row>
    <row r="33">
      <c r="A33" s="9" t="s">
        <v>92</v>
      </c>
      <c r="B33" s="10" t="n">
        <v>2261001.0</v>
      </c>
      <c r="C33" s="10" t="n">
        <v>739263.0</v>
      </c>
      <c r="D33" s="10" t="n">
        <v>1516087.0</v>
      </c>
      <c r="E33" s="10" t="n">
        <v>1113857.0</v>
      </c>
      <c r="F33" s="10" t="n">
        <v>388806.0</v>
      </c>
      <c r="G33" s="10" t="n">
        <v>137348.0</v>
      </c>
      <c r="H33" s="10" t="n">
        <v>153695.0</v>
      </c>
      <c r="I33" s="10" t="n">
        <v>258449.0</v>
      </c>
      <c r="J33" s="10" t="n">
        <v>97372.0</v>
      </c>
      <c r="K33" s="10" t="n">
        <v>173429.0</v>
      </c>
      <c r="L33" s="10" t="n">
        <v>216.0</v>
      </c>
      <c r="M33" s="10" t="n">
        <v>264819.0</v>
      </c>
      <c r="N33" s="10" t="n">
        <v>11570.0</v>
      </c>
      <c r="O33" s="10" t="n">
        <v>44231.0</v>
      </c>
      <c r="P33" s="10" t="n">
        <v>35.0</v>
      </c>
      <c r="Q33" s="10" t="n">
        <v>0.0</v>
      </c>
      <c r="R33" s="10" t="s">
        <f>S33-SUM(B33:Q33)</f>
      </c>
      <c r="S33" s="10" t="n">
        <v>7179431.0</v>
      </c>
      <c r="T33" s="10" t="n">
        <v>415465.0</v>
      </c>
      <c r="U33" s="10" t="n">
        <v>61893.0</v>
      </c>
      <c r="V33" s="10" t="s">
        <f>W33-SUM(T33:U33)</f>
      </c>
      <c r="W33" s="10" t="n">
        <v>477468.0</v>
      </c>
      <c r="X33" s="10" t="n">
        <v>23518.0</v>
      </c>
      <c r="Y33" s="10" t="n">
        <v>32797.0</v>
      </c>
      <c r="Z33" s="10" t="n">
        <v>9726.0</v>
      </c>
      <c r="AA33" s="10" t="n">
        <v>84535.0</v>
      </c>
      <c r="AB33" s="10" t="n">
        <v>565.0</v>
      </c>
      <c r="AC33" s="10" t="n">
        <v>50621.0</v>
      </c>
      <c r="AD33" s="10" t="n">
        <v>34829.0</v>
      </c>
      <c r="AE33" s="10" t="s">
        <f>AF33-SUM(X33:AD33)</f>
      </c>
      <c r="AF33" s="10" t="n">
        <v>236782.0</v>
      </c>
      <c r="AG33" s="10" t="n">
        <v>89793.0</v>
      </c>
      <c r="AH33" s="10" t="n">
        <v>1.0</v>
      </c>
      <c r="AI33" s="10" t="n">
        <v>13264.0</v>
      </c>
      <c r="AJ33" s="10" t="s">
        <f>AK33-SUM(AG33:AI33)</f>
      </c>
      <c r="AK33" s="10" t="n">
        <v>103115.0</v>
      </c>
      <c r="AL33" s="10" t="n">
        <v>0.0</v>
      </c>
      <c r="AM33" s="10" t="s">
        <f>AN33-AL33</f>
      </c>
      <c r="AN33" s="10" t="n">
        <v>2838.0</v>
      </c>
      <c r="AO33" s="10" t="n">
        <v>143312.0</v>
      </c>
      <c r="AP33" s="10" t="s">
        <f>AO33+AN33+AK33+AF33+W33+S33</f>
      </c>
    </row>
    <row r="34">
      <c r="A34" s="9" t="s">
        <v>94</v>
      </c>
      <c r="B34" s="10" t="n">
        <v>2308633.0</v>
      </c>
      <c r="C34" s="10" t="n">
        <v>667910.0</v>
      </c>
      <c r="D34" s="10" t="n">
        <v>2424242.0</v>
      </c>
      <c r="E34" s="10" t="n">
        <v>1377957.0</v>
      </c>
      <c r="F34" s="10" t="n">
        <v>406290.0</v>
      </c>
      <c r="G34" s="10" t="n">
        <v>166126.0</v>
      </c>
      <c r="H34" s="10" t="n">
        <v>212509.0</v>
      </c>
      <c r="I34" s="10" t="n">
        <v>350074.0</v>
      </c>
      <c r="J34" s="10" t="n">
        <v>139762.0</v>
      </c>
      <c r="K34" s="10" t="n">
        <v>179845.0</v>
      </c>
      <c r="L34" s="10" t="n">
        <v>714.0</v>
      </c>
      <c r="M34" s="10" t="n">
        <v>313987.0</v>
      </c>
      <c r="N34" s="10" t="n">
        <v>14097.0</v>
      </c>
      <c r="O34" s="10" t="n">
        <v>57078.0</v>
      </c>
      <c r="P34" s="10" t="n">
        <v>14.0</v>
      </c>
      <c r="Q34" s="10" t="n">
        <v>0.0</v>
      </c>
      <c r="R34" s="10" t="s">
        <f>S34-SUM(B34:Q34)</f>
      </c>
      <c r="S34" s="10" t="n">
        <v>8642677.0</v>
      </c>
      <c r="T34" s="10" t="n">
        <v>436233.0</v>
      </c>
      <c r="U34" s="10" t="n">
        <v>63002.0</v>
      </c>
      <c r="V34" s="10" t="s">
        <f>W34-SUM(T34:U34)</f>
      </c>
      <c r="W34" s="10" t="n">
        <v>499518.0</v>
      </c>
      <c r="X34" s="10" t="n">
        <v>23960.0</v>
      </c>
      <c r="Y34" s="10" t="n">
        <v>31975.0</v>
      </c>
      <c r="Z34" s="10" t="n">
        <v>7719.0</v>
      </c>
      <c r="AA34" s="10" t="n">
        <v>43955.0</v>
      </c>
      <c r="AB34" s="10" t="n">
        <v>919.0</v>
      </c>
      <c r="AC34" s="10" t="n">
        <v>36142.0</v>
      </c>
      <c r="AD34" s="10" t="n">
        <v>26081.0</v>
      </c>
      <c r="AE34" s="10" t="s">
        <f>AF34-SUM(X34:AD34)</f>
      </c>
      <c r="AF34" s="10" t="n">
        <v>172405.0</v>
      </c>
      <c r="AG34" s="10" t="n">
        <v>74787.0</v>
      </c>
      <c r="AH34" s="10" t="n">
        <v>997.0</v>
      </c>
      <c r="AI34" s="10" t="n">
        <v>19951.0</v>
      </c>
      <c r="AJ34" s="10" t="s">
        <f>AK34-SUM(AG34:AI34)</f>
      </c>
      <c r="AK34" s="10" t="n">
        <v>95845.0</v>
      </c>
      <c r="AL34" s="10" t="n">
        <v>0.0</v>
      </c>
      <c r="AM34" s="10" t="s">
        <f>AN34-AL34</f>
      </c>
      <c r="AN34" s="10" t="n">
        <v>1110.0</v>
      </c>
      <c r="AO34" s="10" t="n">
        <v>3519.0</v>
      </c>
      <c r="AP34" s="10" t="s">
        <f>AO34+AN34+AK34+AF34+W34+S34</f>
      </c>
    </row>
    <row r="35">
      <c r="A35" s="9" t="s">
        <v>83</v>
      </c>
      <c r="B35" s="10" t="n">
        <v>2156760.0</v>
      </c>
      <c r="C35" s="10" t="n">
        <v>587633.0</v>
      </c>
      <c r="D35" s="10" t="n">
        <v>2846572.0</v>
      </c>
      <c r="E35" s="10" t="n">
        <v>1136394.0</v>
      </c>
      <c r="F35" s="10" t="n">
        <v>423266.0</v>
      </c>
      <c r="G35" s="10" t="n">
        <v>207808.0</v>
      </c>
      <c r="H35" s="10" t="n">
        <v>209164.0</v>
      </c>
      <c r="I35" s="10" t="n">
        <v>382635.0</v>
      </c>
      <c r="J35" s="10" t="n">
        <v>178876.0</v>
      </c>
      <c r="K35" s="10" t="n">
        <v>212826.0</v>
      </c>
      <c r="L35" s="10" t="n">
        <v>1628.0</v>
      </c>
      <c r="M35" s="10" t="n">
        <v>318587.0</v>
      </c>
      <c r="N35" s="10" t="n">
        <v>16263.0</v>
      </c>
      <c r="O35" s="10" t="n">
        <v>67341.0</v>
      </c>
      <c r="P35" s="10" t="n">
        <v>141.0</v>
      </c>
      <c r="Q35" s="10" t="n">
        <v>0.0</v>
      </c>
      <c r="R35" s="10" t="s">
        <f>S35-SUM(B35:Q35)</f>
      </c>
      <c r="S35" s="10" t="n">
        <v>8762214.0</v>
      </c>
      <c r="T35" s="10" t="n">
        <v>404848.0</v>
      </c>
      <c r="U35" s="10" t="n">
        <v>67733.0</v>
      </c>
      <c r="V35" s="10" t="s">
        <f>W35-SUM(T35:U35)</f>
      </c>
      <c r="W35" s="10" t="n">
        <v>473259.0</v>
      </c>
      <c r="X35" s="10" t="n">
        <v>31337.0</v>
      </c>
      <c r="Y35" s="10" t="n">
        <v>35378.0</v>
      </c>
      <c r="Z35" s="10" t="n">
        <v>9355.0</v>
      </c>
      <c r="AA35" s="10" t="n">
        <v>85238.0</v>
      </c>
      <c r="AB35" s="10" t="n">
        <v>1414.0</v>
      </c>
      <c r="AC35" s="10" t="n">
        <v>36376.0</v>
      </c>
      <c r="AD35" s="10" t="n">
        <v>35901.0</v>
      </c>
      <c r="AE35" s="10" t="s">
        <f>AF35-SUM(X35:AD35)</f>
      </c>
      <c r="AF35" s="10" t="n">
        <v>239062.0</v>
      </c>
      <c r="AG35" s="10" t="n">
        <v>54889.0</v>
      </c>
      <c r="AH35" s="10" t="n">
        <v>15962.0</v>
      </c>
      <c r="AI35" s="10" t="n">
        <v>30079.0</v>
      </c>
      <c r="AJ35" s="10" t="s">
        <f>AK35-SUM(AG35:AI35)</f>
      </c>
      <c r="AK35" s="10" t="n">
        <v>101614.0</v>
      </c>
      <c r="AL35" s="10" t="n">
        <v>1.0</v>
      </c>
      <c r="AM35" s="10" t="s">
        <f>AN35-AL35</f>
      </c>
      <c r="AN35" s="10" t="n">
        <v>238.0</v>
      </c>
      <c r="AO35" s="10" t="n">
        <v>7486.0</v>
      </c>
      <c r="AP35" s="10" t="s">
        <f>AO35+AN35+AK35+AF35+W35+S35</f>
      </c>
    </row>
    <row r="36">
      <c r="A36" s="9" t="s">
        <v>88</v>
      </c>
      <c r="B36" s="10" t="n">
        <v>2021212.0</v>
      </c>
      <c r="C36" s="10" t="n">
        <v>527050.0</v>
      </c>
      <c r="D36" s="10" t="n">
        <v>3139055.0</v>
      </c>
      <c r="E36" s="10" t="n">
        <v>1560300.0</v>
      </c>
      <c r="F36" s="10" t="n">
        <v>532729.0</v>
      </c>
      <c r="G36" s="10" t="n">
        <v>241893.0</v>
      </c>
      <c r="H36" s="10" t="n">
        <v>193170.0</v>
      </c>
      <c r="I36" s="10" t="n">
        <v>306746.0</v>
      </c>
      <c r="J36" s="10" t="n">
        <v>211385.0</v>
      </c>
      <c r="K36" s="10" t="n">
        <v>198893.0</v>
      </c>
      <c r="L36" s="10" t="n">
        <v>1100.0</v>
      </c>
      <c r="M36" s="10" t="n">
        <v>341511.0</v>
      </c>
      <c r="N36" s="10" t="n">
        <v>18380.0</v>
      </c>
      <c r="O36" s="10" t="n">
        <v>65599.0</v>
      </c>
      <c r="P36" s="10" t="n">
        <v>5.0</v>
      </c>
      <c r="Q36" s="10" t="n">
        <v>0.0</v>
      </c>
      <c r="R36" s="10" t="s">
        <f>S36-SUM(B36:Q36)</f>
      </c>
      <c r="S36" s="10" t="n">
        <v>9367597.0</v>
      </c>
      <c r="T36" s="10" t="n">
        <v>469568.0</v>
      </c>
      <c r="U36" s="10" t="n">
        <v>66614.0</v>
      </c>
      <c r="V36" s="10" t="s">
        <f>W36-SUM(T36:U36)</f>
      </c>
      <c r="W36" s="10" t="n">
        <v>537014.0</v>
      </c>
      <c r="X36" s="10" t="n">
        <v>30132.0</v>
      </c>
      <c r="Y36" s="10" t="n">
        <v>36271.0</v>
      </c>
      <c r="Z36" s="10" t="n">
        <v>12718.0</v>
      </c>
      <c r="AA36" s="10" t="n">
        <v>83253.0</v>
      </c>
      <c r="AB36" s="10" t="n">
        <v>64.0</v>
      </c>
      <c r="AC36" s="10" t="n">
        <v>38002.0</v>
      </c>
      <c r="AD36" s="10" t="n">
        <v>39734.0</v>
      </c>
      <c r="AE36" s="10" t="s">
        <f>AF36-SUM(X36:AD36)</f>
      </c>
      <c r="AF36" s="10" t="n">
        <v>240760.0</v>
      </c>
      <c r="AG36" s="10" t="n">
        <v>49986.0</v>
      </c>
      <c r="AH36" s="10" t="n">
        <v>1621.0</v>
      </c>
      <c r="AI36" s="10" t="n">
        <v>37512.0</v>
      </c>
      <c r="AJ36" s="10" t="s">
        <f>AK36-SUM(AG36:AI36)</f>
      </c>
      <c r="AK36" s="10" t="n">
        <v>89166.0</v>
      </c>
      <c r="AL36" s="10" t="n">
        <v>6.0</v>
      </c>
      <c r="AM36" s="10" t="s">
        <f>AN36-AL36</f>
      </c>
      <c r="AN36" s="10" t="n">
        <v>1826.0</v>
      </c>
      <c r="AO36" s="10" t="n">
        <v>3397.0</v>
      </c>
      <c r="AP36" s="10" t="s">
        <f>AO36+AN36+AK36+AF36+W36+S36</f>
      </c>
    </row>
    <row r="37">
      <c r="A37" s="9" t="s">
        <v>91</v>
      </c>
      <c r="B37" s="10" t="n">
        <v>2038732.0</v>
      </c>
      <c r="C37" s="10" t="n">
        <v>514701.0</v>
      </c>
      <c r="D37" s="10" t="n">
        <v>3072327.0</v>
      </c>
      <c r="E37" s="10" t="n">
        <v>2346007.0</v>
      </c>
      <c r="F37" s="10" t="n">
        <v>518528.0</v>
      </c>
      <c r="G37" s="10" t="n">
        <v>297588.0</v>
      </c>
      <c r="H37" s="10" t="n">
        <v>226919.0</v>
      </c>
      <c r="I37" s="10" t="n">
        <v>507616.0</v>
      </c>
      <c r="J37" s="10" t="n">
        <v>129361.0</v>
      </c>
      <c r="K37" s="10" t="n">
        <v>166378.0</v>
      </c>
      <c r="L37" s="10" t="n">
        <v>2411.0</v>
      </c>
      <c r="M37" s="10" t="n">
        <v>361957.0</v>
      </c>
      <c r="N37" s="10" t="n">
        <v>23864.0</v>
      </c>
      <c r="O37" s="10" t="n">
        <v>61338.0</v>
      </c>
      <c r="P37" s="10" t="n">
        <v>14.0</v>
      </c>
      <c r="Q37" s="10" t="n">
        <v>0.0</v>
      </c>
      <c r="R37" s="10" t="s">
        <f>S37-SUM(B37:Q37)</f>
      </c>
      <c r="S37" s="10" t="n">
        <v>1.0388937E7</v>
      </c>
      <c r="T37" s="10" t="n">
        <v>381374.0</v>
      </c>
      <c r="U37" s="10" t="n">
        <v>65086.0</v>
      </c>
      <c r="V37" s="10" t="s">
        <f>W37-SUM(T37:U37)</f>
      </c>
      <c r="W37" s="10" t="n">
        <v>446595.0</v>
      </c>
      <c r="X37" s="10" t="n">
        <v>33000.0</v>
      </c>
      <c r="Y37" s="10" t="n">
        <v>41122.0</v>
      </c>
      <c r="Z37" s="10" t="n">
        <v>70.0</v>
      </c>
      <c r="AA37" s="10" t="n">
        <v>22102.0</v>
      </c>
      <c r="AB37" s="10" t="n">
        <v>0.0</v>
      </c>
      <c r="AC37" s="10" t="n">
        <v>1.0</v>
      </c>
      <c r="AD37" s="10" t="n">
        <v>23487.0</v>
      </c>
      <c r="AE37" s="10" t="s">
        <f>AF37-SUM(X37:AD37)</f>
      </c>
      <c r="AF37" s="10" t="n">
        <v>119800.0</v>
      </c>
      <c r="AG37" s="10" t="n">
        <v>69824.0</v>
      </c>
      <c r="AH37" s="10" t="n">
        <v>6.0</v>
      </c>
      <c r="AI37" s="10" t="n">
        <v>27164.0</v>
      </c>
      <c r="AJ37" s="10" t="s">
        <f>AK37-SUM(AG37:AI37)</f>
      </c>
      <c r="AK37" s="10" t="n">
        <v>97120.0</v>
      </c>
      <c r="AL37" s="10" t="n">
        <v>2.0</v>
      </c>
      <c r="AM37" s="10" t="s">
        <f>AN37-AL37</f>
      </c>
      <c r="AN37" s="10" t="n">
        <v>14.0</v>
      </c>
      <c r="AO37" s="10" t="n">
        <v>442.0</v>
      </c>
      <c r="AP37" s="10" t="s">
        <f>AO37+AN37+AK37+AF37+W37+S37</f>
      </c>
    </row>
    <row r="38">
      <c r="A38" s="9" t="s">
        <v>93</v>
      </c>
      <c r="B38" s="10" t="n">
        <v>2018129.0</v>
      </c>
      <c r="C38" s="10" t="n">
        <v>493188.0</v>
      </c>
      <c r="D38" s="10" t="n">
        <v>3267238.0</v>
      </c>
      <c r="E38" s="10" t="n">
        <v>2971846.0</v>
      </c>
      <c r="F38" s="10" t="n">
        <v>626694.0</v>
      </c>
      <c r="G38" s="10" t="n">
        <v>283925.0</v>
      </c>
      <c r="H38" s="10" t="n">
        <v>198902.0</v>
      </c>
      <c r="I38" s="10" t="n">
        <v>419133.0</v>
      </c>
      <c r="J38" s="10" t="n">
        <v>133583.0</v>
      </c>
      <c r="K38" s="10" t="n">
        <v>170301.0</v>
      </c>
      <c r="L38" s="10" t="n">
        <v>298.0</v>
      </c>
      <c r="M38" s="10" t="n">
        <v>339107.0</v>
      </c>
      <c r="N38" s="10" t="n">
        <v>22817.0</v>
      </c>
      <c r="O38" s="10" t="n">
        <v>69195.0</v>
      </c>
      <c r="P38" s="10" t="n">
        <v>61274.0</v>
      </c>
      <c r="Q38" s="10" t="n">
        <v>0.0</v>
      </c>
      <c r="R38" s="10" t="s">
        <f>S38-SUM(B38:Q38)</f>
      </c>
      <c r="S38" s="10" t="n">
        <v>1.1095664E7</v>
      </c>
      <c r="T38" s="10" t="n">
        <v>425138.0</v>
      </c>
      <c r="U38" s="10" t="n">
        <v>70285.0</v>
      </c>
      <c r="V38" s="10" t="s">
        <f>W38-SUM(T38:U38)</f>
      </c>
      <c r="W38" s="10" t="n">
        <v>495479.0</v>
      </c>
      <c r="X38" s="10" t="n">
        <v>39126.0</v>
      </c>
      <c r="Y38" s="10" t="n">
        <v>44251.0</v>
      </c>
      <c r="Z38" s="10" t="n">
        <v>0.0</v>
      </c>
      <c r="AA38" s="10" t="n">
        <v>22749.0</v>
      </c>
      <c r="AB38" s="10" t="n">
        <v>0.0</v>
      </c>
      <c r="AC38" s="10" t="n">
        <v>0.0</v>
      </c>
      <c r="AD38" s="10" t="n">
        <v>26256.0</v>
      </c>
      <c r="AE38" s="10" t="s">
        <f>AF38-SUM(X38:AD38)</f>
      </c>
      <c r="AF38" s="10" t="n">
        <v>133677.0</v>
      </c>
      <c r="AG38" s="10" t="n">
        <v>85745.0</v>
      </c>
      <c r="AH38" s="10" t="n">
        <v>0.0</v>
      </c>
      <c r="AI38" s="10" t="n">
        <v>30471.0</v>
      </c>
      <c r="AJ38" s="10" t="s">
        <f>AK38-SUM(AG38:AI38)</f>
      </c>
      <c r="AK38" s="10" t="n">
        <v>116342.0</v>
      </c>
      <c r="AL38" s="10" t="n">
        <v>8.0</v>
      </c>
      <c r="AM38" s="10" t="s">
        <f>AN38-AL38</f>
      </c>
      <c r="AN38" s="10" t="n">
        <v>13.0</v>
      </c>
      <c r="AO38" s="10" t="n">
        <v>3460.0</v>
      </c>
      <c r="AP38" s="10" t="s">
        <f>AO38+AN38+AK38+AF38+W38+S38</f>
      </c>
    </row>
    <row r="39">
      <c r="A39" s="9" t="s">
        <v>49</v>
      </c>
      <c r="B39" s="10" t="n">
        <v>2008153.0</v>
      </c>
      <c r="C39" s="10" t="n">
        <v>527144.0</v>
      </c>
      <c r="D39" s="10" t="n">
        <v>3403920.0</v>
      </c>
      <c r="E39" s="10" t="n">
        <v>3797879.0</v>
      </c>
      <c r="F39" s="10" t="n">
        <v>500100.0</v>
      </c>
      <c r="G39" s="10" t="n">
        <v>318516.0</v>
      </c>
      <c r="H39" s="10" t="n">
        <v>201631.0</v>
      </c>
      <c r="I39" s="10" t="n">
        <v>599523.0</v>
      </c>
      <c r="J39" s="10" t="n">
        <v>180091.0</v>
      </c>
      <c r="K39" s="10" t="n">
        <v>176478.0</v>
      </c>
      <c r="L39" s="10" t="n">
        <v>285.0</v>
      </c>
      <c r="M39" s="10" t="n">
        <v>409013.0</v>
      </c>
      <c r="N39" s="10" t="n">
        <v>19999.0</v>
      </c>
      <c r="O39" s="10" t="n">
        <v>66593.0</v>
      </c>
      <c r="P39" s="10" t="n">
        <v>76360.0</v>
      </c>
      <c r="Q39" s="10" t="n">
        <v>47083.0</v>
      </c>
      <c r="R39" s="10" t="s">
        <f>S39-SUM(B39:Q39)</f>
      </c>
      <c r="S39" s="10" t="n">
        <v>1.2353288E7</v>
      </c>
      <c r="T39" s="10" t="n">
        <v>477156.0</v>
      </c>
      <c r="U39" s="10" t="n">
        <v>71079.0</v>
      </c>
      <c r="V39" s="10" t="s">
        <f>W39-SUM(T39:U39)</f>
      </c>
      <c r="W39" s="10" t="n">
        <v>548267.0</v>
      </c>
      <c r="X39" s="10" t="n">
        <v>41185.0</v>
      </c>
      <c r="Y39" s="10" t="n">
        <v>53043.0</v>
      </c>
      <c r="Z39" s="10" t="n">
        <v>14.0</v>
      </c>
      <c r="AA39" s="10" t="n">
        <v>30906.0</v>
      </c>
      <c r="AB39" s="10" t="n">
        <v>0.0</v>
      </c>
      <c r="AC39" s="10" t="n">
        <v>0.0</v>
      </c>
      <c r="AD39" s="10" t="n">
        <v>32835.0</v>
      </c>
      <c r="AE39" s="10" t="s">
        <f>AF39-SUM(X39:AD39)</f>
      </c>
      <c r="AF39" s="10" t="n">
        <v>161529.0</v>
      </c>
      <c r="AG39" s="10" t="n">
        <v>103806.0</v>
      </c>
      <c r="AH39" s="10" t="n">
        <v>3.0</v>
      </c>
      <c r="AI39" s="10" t="n">
        <v>14421.0</v>
      </c>
      <c r="AJ39" s="10" t="s">
        <f>AK39-SUM(AG39:AI39)</f>
      </c>
      <c r="AK39" s="10" t="n">
        <v>118390.0</v>
      </c>
      <c r="AL39" s="10" t="n">
        <v>16.0</v>
      </c>
      <c r="AM39" s="10" t="s">
        <f>AN39-AL39</f>
      </c>
      <c r="AN39" s="10" t="n">
        <v>30.0</v>
      </c>
      <c r="AO39" s="10" t="n">
        <v>1472.0</v>
      </c>
      <c r="AP39" s="10" t="s">
        <f>AO39+AN39+AK39+AF39+W39+S39</f>
      </c>
    </row>
    <row r="40">
      <c r="A40" s="9" t="s">
        <v>53</v>
      </c>
      <c r="B40" s="10" t="n">
        <v>1902647.0</v>
      </c>
      <c r="C40" s="10" t="n">
        <v>598850.0</v>
      </c>
      <c r="D40" s="10" t="n">
        <v>3685477.0</v>
      </c>
      <c r="E40" s="10" t="n">
        <v>4295240.0</v>
      </c>
      <c r="F40" s="10" t="n">
        <v>808420.0</v>
      </c>
      <c r="G40" s="10" t="n">
        <v>319915.0</v>
      </c>
      <c r="H40" s="10" t="n">
        <v>245298.0</v>
      </c>
      <c r="I40" s="10" t="n">
        <v>532787.0</v>
      </c>
      <c r="J40" s="10" t="n">
        <v>231801.0</v>
      </c>
      <c r="K40" s="10" t="n">
        <v>175738.0</v>
      </c>
      <c r="L40" s="10" t="n">
        <v>540.0</v>
      </c>
      <c r="M40" s="10" t="n">
        <v>465944.0</v>
      </c>
      <c r="N40" s="10" t="n">
        <v>25196.0</v>
      </c>
      <c r="O40" s="10" t="n">
        <v>67281.0</v>
      </c>
      <c r="P40" s="10" t="n">
        <v>79066.0</v>
      </c>
      <c r="Q40" s="10" t="n">
        <v>69564.0</v>
      </c>
      <c r="R40" s="10" t="s">
        <f>S40-SUM(B40:Q40)</f>
      </c>
      <c r="S40" s="10" t="n">
        <v>1.3539067E7</v>
      </c>
      <c r="T40" s="10" t="n">
        <v>527099.0</v>
      </c>
      <c r="U40" s="10" t="n">
        <v>93405.0</v>
      </c>
      <c r="V40" s="10" t="s">
        <f>W40-SUM(T40:U40)</f>
      </c>
      <c r="W40" s="10" t="n">
        <v>623191.0</v>
      </c>
      <c r="X40" s="10" t="n">
        <v>46461.0</v>
      </c>
      <c r="Y40" s="10" t="n">
        <v>66454.0</v>
      </c>
      <c r="Z40" s="10" t="n">
        <v>13054.0</v>
      </c>
      <c r="AA40" s="10" t="n">
        <v>32851.0</v>
      </c>
      <c r="AB40" s="10" t="n">
        <v>5529.0</v>
      </c>
      <c r="AC40" s="10" t="n">
        <v>16321.0</v>
      </c>
      <c r="AD40" s="10" t="n">
        <v>41934.0</v>
      </c>
      <c r="AE40" s="10" t="s">
        <f>AF40-SUM(X40:AD40)</f>
      </c>
      <c r="AF40" s="10" t="n">
        <v>258087.0</v>
      </c>
      <c r="AG40" s="10" t="n">
        <v>139501.0</v>
      </c>
      <c r="AH40" s="10" t="n">
        <v>2804.0</v>
      </c>
      <c r="AI40" s="10" t="n">
        <v>14203.0</v>
      </c>
      <c r="AJ40" s="10" t="s">
        <f>AK40-SUM(AG40:AI40)</f>
      </c>
      <c r="AK40" s="10" t="n">
        <v>157726.0</v>
      </c>
      <c r="AL40" s="10" t="n">
        <v>1397.0</v>
      </c>
      <c r="AM40" s="10" t="s">
        <f>AN40-AL40</f>
      </c>
      <c r="AN40" s="10" t="n">
        <v>5206.0</v>
      </c>
      <c r="AO40" s="10" t="n">
        <v>5646.0</v>
      </c>
      <c r="AP40" s="10" t="s">
        <f>AO40+AN40+AK40+AF40+W40+S40</f>
      </c>
    </row>
    <row r="41">
      <c r="A41" s="9" t="s">
        <v>57</v>
      </c>
      <c r="B41" s="10" t="n">
        <v>1773252.0</v>
      </c>
      <c r="C41" s="10" t="n">
        <v>589147.0</v>
      </c>
      <c r="D41" s="10" t="n">
        <v>3928352.0</v>
      </c>
      <c r="E41" s="10" t="n">
        <v>4615873.0</v>
      </c>
      <c r="F41" s="10" t="n">
        <v>888526.0</v>
      </c>
      <c r="G41" s="10" t="n">
        <v>326634.0</v>
      </c>
      <c r="H41" s="10" t="n">
        <v>296370.0</v>
      </c>
      <c r="I41" s="10" t="n">
        <v>553804.0</v>
      </c>
      <c r="J41" s="10" t="n">
        <v>236597.0</v>
      </c>
      <c r="K41" s="10" t="n">
        <v>177960.0</v>
      </c>
      <c r="L41" s="10" t="n">
        <v>801.0</v>
      </c>
      <c r="M41" s="10" t="n">
        <v>564002.0</v>
      </c>
      <c r="N41" s="10" t="n">
        <v>26200.0</v>
      </c>
      <c r="O41" s="10" t="n">
        <v>82888.0</v>
      </c>
      <c r="P41" s="10" t="n">
        <v>68210.0</v>
      </c>
      <c r="Q41" s="10" t="n">
        <v>63795.0</v>
      </c>
      <c r="R41" s="10" t="s">
        <f>S41-SUM(B41:Q41)</f>
      </c>
      <c r="S41" s="10" t="n">
        <v>1.4253762E7</v>
      </c>
      <c r="T41" s="10" t="n">
        <v>574512.0</v>
      </c>
      <c r="U41" s="10" t="n">
        <v>114828.0</v>
      </c>
      <c r="V41" s="10" t="s">
        <f>W41-SUM(T41:U41)</f>
      </c>
      <c r="W41" s="10" t="n">
        <v>697361.0</v>
      </c>
      <c r="X41" s="10" t="n">
        <v>66720.0</v>
      </c>
      <c r="Y41" s="10" t="n">
        <v>95850.0</v>
      </c>
      <c r="Z41" s="10" t="n">
        <v>47346.0</v>
      </c>
      <c r="AA41" s="10" t="n">
        <v>66332.0</v>
      </c>
      <c r="AB41" s="10" t="n">
        <v>15463.0</v>
      </c>
      <c r="AC41" s="10" t="n">
        <v>47797.0</v>
      </c>
      <c r="AD41" s="10" t="n">
        <v>59479.0</v>
      </c>
      <c r="AE41" s="10" t="s">
        <f>AF41-SUM(X41:AD41)</f>
      </c>
      <c r="AF41" s="10" t="n">
        <v>496529.0</v>
      </c>
      <c r="AG41" s="10" t="n">
        <v>165938.0</v>
      </c>
      <c r="AH41" s="10" t="n">
        <v>6846.0</v>
      </c>
      <c r="AI41" s="10" t="n">
        <v>9884.0</v>
      </c>
      <c r="AJ41" s="10" t="s">
        <f>AK41-SUM(AG41:AI41)</f>
      </c>
      <c r="AK41" s="10" t="n">
        <v>184317.0</v>
      </c>
      <c r="AL41" s="10" t="n">
        <v>3154.0</v>
      </c>
      <c r="AM41" s="10" t="s">
        <f>AN41-AL41</f>
      </c>
      <c r="AN41" s="10" t="n">
        <v>16740.0</v>
      </c>
      <c r="AO41" s="10" t="n">
        <v>5870.0</v>
      </c>
      <c r="AP41" s="10" t="s">
        <f>AO41+AN41+AK41+AF41+W41+S41</f>
      </c>
    </row>
    <row r="42">
      <c r="A42" s="9" t="s">
        <v>62</v>
      </c>
      <c r="B42" s="10" t="n">
        <v>1696265.0</v>
      </c>
      <c r="C42" s="10" t="n">
        <v>605468.0</v>
      </c>
      <c r="D42" s="10" t="n">
        <v>4172704.0</v>
      </c>
      <c r="E42" s="10" t="n">
        <v>4825948.0</v>
      </c>
      <c r="F42" s="10" t="n">
        <v>1086516.0</v>
      </c>
      <c r="G42" s="10" t="n">
        <v>354667.0</v>
      </c>
      <c r="H42" s="10" t="n">
        <v>316926.0</v>
      </c>
      <c r="I42" s="10" t="n">
        <v>679145.0</v>
      </c>
      <c r="J42" s="10" t="n">
        <v>246691.0</v>
      </c>
      <c r="K42" s="10" t="n">
        <v>170013.0</v>
      </c>
      <c r="L42" s="10" t="n">
        <v>1093.0</v>
      </c>
      <c r="M42" s="10" t="n">
        <v>659123.0</v>
      </c>
      <c r="N42" s="10" t="n">
        <v>25101.0</v>
      </c>
      <c r="O42" s="10" t="n">
        <v>93313.0</v>
      </c>
      <c r="P42" s="10" t="n">
        <v>83158.0</v>
      </c>
      <c r="Q42" s="10" t="n">
        <v>83933.0</v>
      </c>
      <c r="R42" s="10" t="s">
        <f>S42-SUM(B42:Q42)</f>
      </c>
      <c r="S42" s="10" t="n">
        <v>1.5152547E7</v>
      </c>
      <c r="T42" s="10" t="n">
        <v>569180.0</v>
      </c>
      <c r="U42" s="10" t="n">
        <v>133757.0</v>
      </c>
      <c r="V42" s="10" t="s">
        <f>W42-SUM(T42:U42)</f>
      </c>
      <c r="W42" s="10" t="n">
        <v>710039.0</v>
      </c>
      <c r="X42" s="10" t="n">
        <v>81814.0</v>
      </c>
      <c r="Y42" s="10" t="n">
        <v>90350.0</v>
      </c>
      <c r="Z42" s="10" t="n">
        <v>44940.0</v>
      </c>
      <c r="AA42" s="10" t="n">
        <v>63907.0</v>
      </c>
      <c r="AB42" s="10" t="n">
        <v>15337.0</v>
      </c>
      <c r="AC42" s="10" t="n">
        <v>69211.0</v>
      </c>
      <c r="AD42" s="10" t="n">
        <v>91031.0</v>
      </c>
      <c r="AE42" s="10" t="s">
        <f>AF42-SUM(X42:AD42)</f>
      </c>
      <c r="AF42" s="10" t="n">
        <v>537777.0</v>
      </c>
      <c r="AG42" s="10" t="n">
        <v>190163.0</v>
      </c>
      <c r="AH42" s="10" t="n">
        <v>20901.0</v>
      </c>
      <c r="AI42" s="10" t="n">
        <v>11524.0</v>
      </c>
      <c r="AJ42" s="10" t="s">
        <f>AK42-SUM(AG42:AI42)</f>
      </c>
      <c r="AK42" s="10" t="n">
        <v>224274.0</v>
      </c>
      <c r="AL42" s="10" t="n">
        <v>2967.0</v>
      </c>
      <c r="AM42" s="10" t="s">
        <f>AN42-AL42</f>
      </c>
      <c r="AN42" s="10" t="n">
        <v>16649.0</v>
      </c>
      <c r="AO42" s="10" t="n">
        <v>3398.0</v>
      </c>
      <c r="AP42" s="10" t="s">
        <f>AO42+AN42+AK42+AF42+W42+S42</f>
      </c>
    </row>
    <row r="43">
      <c r="A43" s="9" t="s">
        <v>67</v>
      </c>
      <c r="B43" s="10" t="n">
        <v>1676374.0</v>
      </c>
      <c r="C43" s="10" t="n">
        <v>596721.0</v>
      </c>
      <c r="D43" s="10" t="n">
        <v>4043686.0</v>
      </c>
      <c r="E43" s="10" t="n">
        <v>4911681.0</v>
      </c>
      <c r="F43" s="10" t="n">
        <v>1209062.0</v>
      </c>
      <c r="G43" s="10" t="n">
        <v>387485.0</v>
      </c>
      <c r="H43" s="10" t="n">
        <v>299959.0</v>
      </c>
      <c r="I43" s="10" t="n">
        <v>830166.0</v>
      </c>
      <c r="J43" s="10" t="n">
        <v>331792.0</v>
      </c>
      <c r="K43" s="10" t="n">
        <v>156060.0</v>
      </c>
      <c r="L43" s="10" t="n">
        <v>6317.0</v>
      </c>
      <c r="M43" s="10" t="n">
        <v>853257.0</v>
      </c>
      <c r="N43" s="10" t="n">
        <v>25071.0</v>
      </c>
      <c r="O43" s="10" t="n">
        <v>89975.0</v>
      </c>
      <c r="P43" s="10" t="n">
        <v>136603.0</v>
      </c>
      <c r="Q43" s="10" t="n">
        <v>87168.0</v>
      </c>
      <c r="R43" s="10" t="s">
        <f>S43-SUM(B43:Q43)</f>
      </c>
      <c r="S43" s="10" t="n">
        <v>1.5757473E7</v>
      </c>
      <c r="T43" s="10" t="n">
        <v>550978.0</v>
      </c>
      <c r="U43" s="10" t="n">
        <v>125474.0</v>
      </c>
      <c r="V43" s="10" t="s">
        <f>W43-SUM(T43:U43)</f>
      </c>
      <c r="W43" s="10" t="n">
        <v>676520.0</v>
      </c>
      <c r="X43" s="10" t="n">
        <v>75642.0</v>
      </c>
      <c r="Y43" s="10" t="n">
        <v>69021.0</v>
      </c>
      <c r="Z43" s="10" t="n">
        <v>27717.0</v>
      </c>
      <c r="AA43" s="10" t="n">
        <v>63334.0</v>
      </c>
      <c r="AB43" s="10" t="n">
        <v>6.0</v>
      </c>
      <c r="AC43" s="10" t="n">
        <v>37992.0</v>
      </c>
      <c r="AD43" s="10" t="n">
        <v>81537.0</v>
      </c>
      <c r="AE43" s="10" t="s">
        <f>AF43-SUM(X43:AD43)</f>
      </c>
      <c r="AF43" s="10" t="n">
        <v>363583.0</v>
      </c>
      <c r="AG43" s="10" t="n">
        <v>180048.0</v>
      </c>
      <c r="AH43" s="10" t="n">
        <v>32457.0</v>
      </c>
      <c r="AI43" s="10" t="n">
        <v>15511.0</v>
      </c>
      <c r="AJ43" s="10" t="s">
        <f>AK43-SUM(AG43:AI43)</f>
      </c>
      <c r="AK43" s="10" t="n">
        <v>228135.0</v>
      </c>
      <c r="AL43" s="10" t="n">
        <v>13.0</v>
      </c>
      <c r="AM43" s="10" t="s">
        <f>AN43-AL43</f>
      </c>
      <c r="AN43" s="10" t="n">
        <v>27.0</v>
      </c>
      <c r="AO43" s="10" t="n">
        <v>75597.0</v>
      </c>
      <c r="AP43" s="10" t="s">
        <f>AO43+AN43+AK43+AF43+W43+S43</f>
      </c>
    </row>
    <row r="44">
      <c r="A44" s="9" t="s">
        <v>71</v>
      </c>
      <c r="B44" s="10" t="n">
        <v>158008.0</v>
      </c>
      <c r="C44" s="10" t="n">
        <v>54537.0</v>
      </c>
      <c r="D44" s="10" t="n">
        <v>414634.0</v>
      </c>
      <c r="E44" s="10" t="n">
        <v>697981.0</v>
      </c>
      <c r="F44" s="10" t="n">
        <v>163953.0</v>
      </c>
      <c r="G44" s="10" t="n">
        <v>65674.0</v>
      </c>
      <c r="H44" s="10" t="n">
        <v>49913.0</v>
      </c>
      <c r="I44" s="10" t="n">
        <v>127693.0</v>
      </c>
      <c r="J44" s="10" t="n">
        <v>49093.0</v>
      </c>
      <c r="K44" s="10" t="n">
        <v>30237.0</v>
      </c>
      <c r="L44" s="10" t="n">
        <v>1594.0</v>
      </c>
      <c r="M44" s="10" t="n">
        <v>158286.0</v>
      </c>
      <c r="N44" s="10" t="n">
        <v>5374.0</v>
      </c>
      <c r="O44" s="10" t="n">
        <v>16157.0</v>
      </c>
      <c r="P44" s="10" t="n">
        <v>26801.0</v>
      </c>
      <c r="Q44" s="10" t="n">
        <v>15662.0</v>
      </c>
      <c r="R44" s="10" t="s">
        <f>S44-SUM(B44:Q44)</f>
      </c>
      <c r="S44" s="10" t="n">
        <v>2038522.0</v>
      </c>
      <c r="T44" s="10" t="n">
        <v>143975.0</v>
      </c>
      <c r="U44" s="10" t="n">
        <v>31756.0</v>
      </c>
      <c r="V44" s="10" t="s">
        <f>W44-SUM(T44:U44)</f>
      </c>
      <c r="W44" s="10" t="n">
        <v>175736.0</v>
      </c>
      <c r="X44" s="10" t="n">
        <v>12801.0</v>
      </c>
      <c r="Y44" s="10" t="n">
        <v>12328.0</v>
      </c>
      <c r="Z44" s="10" t="n">
        <v>2505.0</v>
      </c>
      <c r="AA44" s="10" t="n">
        <v>11363.0</v>
      </c>
      <c r="AB44" s="10" t="n">
        <v>19.0</v>
      </c>
      <c r="AC44" s="10" t="n">
        <v>9340.0</v>
      </c>
      <c r="AD44" s="10" t="n">
        <v>10937.0</v>
      </c>
      <c r="AE44" s="10" t="s">
        <f>AF44-SUM(X44:AD44)</f>
      </c>
      <c r="AF44" s="10" t="n">
        <v>59773.0</v>
      </c>
      <c r="AG44" s="10" t="n">
        <v>40124.0</v>
      </c>
      <c r="AH44" s="10" t="n">
        <v>9668.0</v>
      </c>
      <c r="AI44" s="10" t="n">
        <v>2628.0</v>
      </c>
      <c r="AJ44" s="10" t="s">
        <f>AK44-SUM(AG44:AI44)</f>
      </c>
      <c r="AK44" s="10" t="n">
        <v>52488.0</v>
      </c>
      <c r="AL44" s="10" t="n">
        <v>2.0</v>
      </c>
      <c r="AM44" s="10" t="s">
        <f>AN44-AL44</f>
      </c>
      <c r="AN44" s="10" t="n">
        <v>23.0</v>
      </c>
      <c r="AO44" s="10" t="n">
        <v>9022.0</v>
      </c>
      <c r="AP44" s="10" t="s">
        <f>AO44+AN44+AK44+AF44+W44+S44</f>
      </c>
    </row>
    <row r="45">
      <c r="A45" s="9" t="s">
        <v>74</v>
      </c>
      <c r="B45" s="10" t="n">
        <v>12692.0</v>
      </c>
      <c r="C45" s="10" t="n">
        <v>11468.0</v>
      </c>
      <c r="D45" s="10" t="n">
        <v>128637.0</v>
      </c>
      <c r="E45" s="10" t="n">
        <v>14049.0</v>
      </c>
      <c r="F45" s="10" t="n">
        <v>8269.0</v>
      </c>
      <c r="G45" s="10" t="n">
        <v>13656.0</v>
      </c>
      <c r="H45" s="10" t="n">
        <v>1373.0</v>
      </c>
      <c r="I45" s="10" t="n">
        <v>7976.0</v>
      </c>
      <c r="J45" s="10" t="n">
        <v>2099.0</v>
      </c>
      <c r="K45" s="10" t="n">
        <v>2177.0</v>
      </c>
      <c r="L45" s="10" t="n">
        <v>49.0</v>
      </c>
      <c r="M45" s="10" t="n">
        <v>11123.0</v>
      </c>
      <c r="N45" s="10" t="n">
        <v>297.0</v>
      </c>
      <c r="O45" s="10" t="n">
        <v>3294.0</v>
      </c>
      <c r="P45" s="10" t="n">
        <v>7915.0</v>
      </c>
      <c r="Q45" s="10" t="n">
        <v>7386.0</v>
      </c>
      <c r="R45" s="10" t="s">
        <f>S45-SUM(B45:Q45)</f>
      </c>
      <c r="S45" s="10" t="n">
        <v>232736.0</v>
      </c>
      <c r="T45" s="10" t="n">
        <v>103895.0</v>
      </c>
      <c r="U45" s="10" t="n">
        <v>10369.0</v>
      </c>
      <c r="V45" s="10" t="s">
        <f>W45-SUM(T45:U45)</f>
      </c>
      <c r="W45" s="10" t="n">
        <v>114339.0</v>
      </c>
      <c r="X45" s="10" t="n">
        <v>1792.0</v>
      </c>
      <c r="Y45" s="10" t="n">
        <v>2632.0</v>
      </c>
      <c r="Z45" s="10" t="n">
        <v>24.0</v>
      </c>
      <c r="AA45" s="10" t="n">
        <v>996.0</v>
      </c>
      <c r="AB45" s="10" t="n">
        <v>53.0</v>
      </c>
      <c r="AC45" s="10" t="n">
        <v>949.0</v>
      </c>
      <c r="AD45" s="10" t="n">
        <v>300.0</v>
      </c>
      <c r="AE45" s="10" t="s">
        <f>AF45-SUM(X45:AD45)</f>
      </c>
      <c r="AF45" s="10" t="n">
        <v>7139.0</v>
      </c>
      <c r="AG45" s="10" t="n">
        <v>1629.0</v>
      </c>
      <c r="AH45" s="10" t="n">
        <v>495.0</v>
      </c>
      <c r="AI45" s="10" t="n">
        <v>2621.0</v>
      </c>
      <c r="AJ45" s="10" t="s">
        <f>AK45-SUM(AG45:AI45)</f>
      </c>
      <c r="AK45" s="10" t="n">
        <v>4833.0</v>
      </c>
      <c r="AL45" s="10" t="n">
        <v>19.0</v>
      </c>
      <c r="AM45" s="10" t="s">
        <f>AN45-AL45</f>
      </c>
      <c r="AN45" s="10" t="n">
        <v>65.0</v>
      </c>
      <c r="AO45" s="10" t="n">
        <v>865.0</v>
      </c>
      <c r="AP45" s="10" t="s">
        <f>AO45+AN45+AK45+AF45+W45+S45</f>
      </c>
    </row>
    <row r="46">
      <c r="A46" s="9" t="s">
        <v>78</v>
      </c>
      <c r="B46" s="10" t="n">
        <v>52725.0</v>
      </c>
      <c r="C46" s="10" t="n">
        <v>7556.0</v>
      </c>
      <c r="D46" s="10" t="n">
        <v>165895.0</v>
      </c>
      <c r="E46" s="10" t="n">
        <v>354219.0</v>
      </c>
      <c r="F46" s="10" t="n">
        <v>78318.0</v>
      </c>
      <c r="G46" s="10" t="n">
        <v>78961.0</v>
      </c>
      <c r="H46" s="10" t="n">
        <v>29909.0</v>
      </c>
      <c r="I46" s="10" t="n">
        <v>104892.0</v>
      </c>
      <c r="J46" s="10" t="n">
        <v>29027.0</v>
      </c>
      <c r="K46" s="10" t="n">
        <v>20793.0</v>
      </c>
      <c r="L46" s="10" t="n">
        <v>36.0</v>
      </c>
      <c r="M46" s="10" t="n">
        <v>133203.0</v>
      </c>
      <c r="N46" s="10" t="n">
        <v>2681.0</v>
      </c>
      <c r="O46" s="10" t="n">
        <v>17471.0</v>
      </c>
      <c r="P46" s="10" t="n">
        <v>31884.0</v>
      </c>
      <c r="Q46" s="10" t="n">
        <v>29586.0</v>
      </c>
      <c r="R46" s="10" t="s">
        <f>S46-SUM(B46:Q46)</f>
      </c>
      <c r="S46" s="10" t="n">
        <v>1137862.0</v>
      </c>
      <c r="T46" s="10" t="n">
        <v>216084.0</v>
      </c>
      <c r="U46" s="10" t="n">
        <v>34282.0</v>
      </c>
      <c r="V46" s="10" t="s">
        <f>W46-SUM(T46:U46)</f>
      </c>
      <c r="W46" s="10" t="n">
        <v>250502.0</v>
      </c>
      <c r="X46" s="10" t="n">
        <v>12715.0</v>
      </c>
      <c r="Y46" s="10" t="n">
        <v>18068.0</v>
      </c>
      <c r="Z46" s="10" t="n">
        <v>3183.0</v>
      </c>
      <c r="AA46" s="10" t="n">
        <v>8220.0</v>
      </c>
      <c r="AB46" s="10" t="n">
        <v>205.0</v>
      </c>
      <c r="AC46" s="10" t="n">
        <v>9759.0</v>
      </c>
      <c r="AD46" s="10" t="n">
        <v>4345.0</v>
      </c>
      <c r="AE46" s="10" t="s">
        <f>AF46-SUM(X46:AD46)</f>
      </c>
      <c r="AF46" s="10" t="n">
        <v>57536.0</v>
      </c>
      <c r="AG46" s="10" t="n">
        <v>27162.0</v>
      </c>
      <c r="AH46" s="10" t="n">
        <v>6758.0</v>
      </c>
      <c r="AI46" s="10" t="n">
        <v>1535.0</v>
      </c>
      <c r="AJ46" s="10" t="s">
        <f>AK46-SUM(AG46:AI46)</f>
      </c>
      <c r="AK46" s="10" t="n">
        <v>35582.0</v>
      </c>
      <c r="AL46" s="10" t="n">
        <v>59.0</v>
      </c>
      <c r="AM46" s="10" t="s">
        <f>AN46-AL46</f>
      </c>
      <c r="AN46" s="10" t="n">
        <v>205.0</v>
      </c>
      <c r="AO46" s="10" t="n">
        <v>1134.0</v>
      </c>
      <c r="AP46" s="10" t="s">
        <f>AO46+AN46+AK46+AF46+W46+S46</f>
      </c>
    </row>
    <row r="47">
      <c r="A47" s="9" t="s">
        <v>85</v>
      </c>
      <c r="B47" s="10" t="n">
        <v>743443.0</v>
      </c>
      <c r="C47" s="10" t="n">
        <v>275979.0</v>
      </c>
      <c r="D47" s="10" t="n">
        <v>1761134.0</v>
      </c>
      <c r="E47" s="10" t="n">
        <v>4225804.0</v>
      </c>
      <c r="F47" s="10" t="n">
        <v>954693.0</v>
      </c>
      <c r="G47" s="10" t="n">
        <v>316715.0</v>
      </c>
      <c r="H47" s="10" t="n">
        <v>245136.0</v>
      </c>
      <c r="I47" s="10" t="n">
        <v>777326.0</v>
      </c>
      <c r="J47" s="10" t="n">
        <v>208399.0</v>
      </c>
      <c r="K47" s="10" t="n">
        <v>125899.0</v>
      </c>
      <c r="L47" s="10" t="n">
        <v>6821.0</v>
      </c>
      <c r="M47" s="10" t="n">
        <v>853859.0</v>
      </c>
      <c r="N47" s="10" t="n">
        <v>7919.0</v>
      </c>
      <c r="O47" s="10" t="n">
        <v>46050.0</v>
      </c>
      <c r="P47" s="10" t="n">
        <v>121767.0</v>
      </c>
      <c r="Q47" s="10" t="n">
        <v>78286.0</v>
      </c>
      <c r="R47" s="10" t="s">
        <f>S47-SUM(B47:Q47)</f>
      </c>
      <c r="S47" s="10" t="n">
        <v>1.0752314E7</v>
      </c>
      <c r="T47" s="10" t="n">
        <v>465756.0</v>
      </c>
      <c r="U47" s="10" t="n">
        <v>77523.0</v>
      </c>
      <c r="V47" s="10" t="s">
        <f>W47-SUM(T47:U47)</f>
      </c>
      <c r="W47" s="10" t="n">
        <v>543463.0</v>
      </c>
      <c r="X47" s="10" t="n">
        <v>59613.0</v>
      </c>
      <c r="Y47" s="10" t="n">
        <v>78972.0</v>
      </c>
      <c r="Z47" s="10" t="n">
        <v>49904.0</v>
      </c>
      <c r="AA47" s="10" t="n">
        <v>27185.0</v>
      </c>
      <c r="AB47" s="10" t="n">
        <v>415.0</v>
      </c>
      <c r="AC47" s="10" t="n">
        <v>29363.0</v>
      </c>
      <c r="AD47" s="10" t="n">
        <v>55560.0</v>
      </c>
      <c r="AE47" s="10" t="s">
        <f>AF47-SUM(X47:AD47)</f>
      </c>
      <c r="AF47" s="10" t="n">
        <v>311041.0</v>
      </c>
      <c r="AG47" s="10" t="n">
        <v>130276.0</v>
      </c>
      <c r="AH47" s="10" t="n">
        <v>28597.0</v>
      </c>
      <c r="AI47" s="10" t="n">
        <v>10555.0</v>
      </c>
      <c r="AJ47" s="10" t="s">
        <f>AK47-SUM(AG47:AI47)</f>
      </c>
      <c r="AK47" s="10" t="n">
        <v>169510.0</v>
      </c>
      <c r="AL47" s="10" t="n">
        <v>84.0</v>
      </c>
      <c r="AM47" s="10" t="s">
        <f>AN47-AL47</f>
      </c>
      <c r="AN47" s="10" t="n">
        <v>340.0</v>
      </c>
      <c r="AO47" s="10" t="n">
        <v>19166.0</v>
      </c>
      <c r="AP47" s="10" t="s">
        <f>AO47+AN47+AK47+AF47+W47+S47</f>
      </c>
    </row>
    <row r="48">
      <c r="A48" s="9" t="s">
        <v>86</v>
      </c>
      <c r="B48" s="10" t="n">
        <v>1203821.0</v>
      </c>
      <c r="C48" s="10" t="n">
        <v>487441.0</v>
      </c>
      <c r="D48" s="10" t="n">
        <v>2770284.0</v>
      </c>
      <c r="E48" s="10" t="n">
        <v>6006116.0</v>
      </c>
      <c r="F48" s="10" t="n">
        <v>1429398.0</v>
      </c>
      <c r="G48" s="10" t="n">
        <v>380127.0</v>
      </c>
      <c r="H48" s="10" t="n">
        <v>320450.0</v>
      </c>
      <c r="I48" s="10" t="n">
        <v>1121756.0</v>
      </c>
      <c r="J48" s="10" t="n">
        <v>225716.0</v>
      </c>
      <c r="K48" s="10" t="n">
        <v>148350.0</v>
      </c>
      <c r="L48" s="10" t="n">
        <v>13651.0</v>
      </c>
      <c r="M48" s="10" t="n">
        <v>1263352.0</v>
      </c>
      <c r="N48" s="10" t="n">
        <v>6492.0</v>
      </c>
      <c r="O48" s="10" t="n">
        <v>57771.0</v>
      </c>
      <c r="P48" s="10" t="n">
        <v>153404.0</v>
      </c>
      <c r="Q48" s="10" t="n">
        <v>96712.0</v>
      </c>
      <c r="R48" s="10" t="s">
        <f>S48-SUM(B48:Q48)</f>
      </c>
      <c r="S48" s="10" t="n">
        <v>1.5685999E7</v>
      </c>
      <c r="T48" s="10" t="n">
        <v>532130.0</v>
      </c>
      <c r="U48" s="10" t="n">
        <v>80147.0</v>
      </c>
      <c r="V48" s="10" t="s">
        <f>W48-SUM(T48:U48)</f>
      </c>
      <c r="W48" s="10" t="n">
        <v>612413.0</v>
      </c>
      <c r="X48" s="10" t="n">
        <v>55638.0</v>
      </c>
      <c r="Y48" s="10" t="n">
        <v>84372.0</v>
      </c>
      <c r="Z48" s="10" t="n">
        <v>60110.0</v>
      </c>
      <c r="AA48" s="10" t="n">
        <v>41404.0</v>
      </c>
      <c r="AB48" s="10" t="n">
        <v>214.0</v>
      </c>
      <c r="AC48" s="10" t="n">
        <v>30601.0</v>
      </c>
      <c r="AD48" s="10" t="n">
        <v>61404.0</v>
      </c>
      <c r="AE48" s="10" t="s">
        <f>AF48-SUM(X48:AD48)</f>
      </c>
      <c r="AF48" s="10" t="n">
        <v>352172.0</v>
      </c>
      <c r="AG48" s="10" t="n">
        <v>149161.0</v>
      </c>
      <c r="AH48" s="10" t="n">
        <v>31491.0</v>
      </c>
      <c r="AI48" s="10" t="n">
        <v>12468.0</v>
      </c>
      <c r="AJ48" s="10" t="s">
        <f>AK48-SUM(AG48:AI48)</f>
      </c>
      <c r="AK48" s="10" t="n">
        <v>193191.0</v>
      </c>
      <c r="AL48" s="10" t="n">
        <v>46.0</v>
      </c>
      <c r="AM48" s="10" t="s">
        <f>AN48-AL48</f>
      </c>
      <c r="AN48" s="10" t="n">
        <v>376.0</v>
      </c>
      <c r="AO48" s="10" t="n">
        <v>5532.0</v>
      </c>
      <c r="AP48" s="10" t="s">
        <f>AO48+AN48+AK48+AF48+W48+S48</f>
      </c>
    </row>
    <row r="49">
      <c r="A49" s="9" t="s">
        <v>90</v>
      </c>
      <c r="B49" s="10" t="n">
        <v>1626176.0</v>
      </c>
      <c r="C49" s="10" t="n">
        <v>567529.0</v>
      </c>
      <c r="D49" s="10" t="n">
        <v>3237511.0</v>
      </c>
      <c r="E49" s="10" t="n">
        <v>6730817.0</v>
      </c>
      <c r="F49" s="10" t="n">
        <v>1835061.0</v>
      </c>
      <c r="G49" s="10" t="n">
        <v>395658.0</v>
      </c>
      <c r="H49" s="10" t="n">
        <v>315455.0</v>
      </c>
      <c r="I49" s="10" t="n">
        <v>1026976.0</v>
      </c>
      <c r="J49" s="10" t="n">
        <v>234043.0</v>
      </c>
      <c r="K49" s="10" t="n">
        <v>162169.0</v>
      </c>
      <c r="L49" s="10" t="n">
        <v>10984.0</v>
      </c>
      <c r="M49" s="10" t="n">
        <v>1214362.0</v>
      </c>
      <c r="N49" s="10" t="n">
        <v>5712.0</v>
      </c>
      <c r="O49" s="10" t="n">
        <v>58909.0</v>
      </c>
      <c r="P49" s="10" t="n">
        <v>182778.0</v>
      </c>
      <c r="Q49" s="10" t="n">
        <v>110584.0</v>
      </c>
      <c r="R49" s="10" t="s">
        <f>S49-SUM(B49:Q49)</f>
      </c>
      <c r="S49" s="10" t="n">
        <v>1.7715833E7</v>
      </c>
      <c r="T49" s="10" t="n">
        <v>568258.0</v>
      </c>
      <c r="U49" s="10" t="n">
        <v>86668.0</v>
      </c>
      <c r="V49" s="10" t="s">
        <f>W49-SUM(T49:U49)</f>
      </c>
      <c r="W49" s="10" t="n">
        <v>655024.0</v>
      </c>
      <c r="X49" s="10" t="n">
        <v>62846.0</v>
      </c>
      <c r="Y49" s="10" t="n">
        <v>82386.0</v>
      </c>
      <c r="Z49" s="10" t="n">
        <v>59579.0</v>
      </c>
      <c r="AA49" s="10" t="n">
        <v>43088.0</v>
      </c>
      <c r="AB49" s="10" t="n">
        <v>155.0</v>
      </c>
      <c r="AC49" s="10" t="n">
        <v>32939.0</v>
      </c>
      <c r="AD49" s="10" t="n">
        <v>60385.0</v>
      </c>
      <c r="AE49" s="10" t="s">
        <f>AF49-SUM(X49:AD49)</f>
      </c>
      <c r="AF49" s="10" t="n">
        <v>359216.0</v>
      </c>
      <c r="AG49" s="10" t="n">
        <v>160328.0</v>
      </c>
      <c r="AH49" s="10" t="n">
        <v>33358.0</v>
      </c>
      <c r="AI49" s="10" t="n">
        <v>14043.0</v>
      </c>
      <c r="AJ49" s="10" t="s">
        <f>AK49-SUM(AG49:AI49)</f>
      </c>
      <c r="AK49" s="10" t="n">
        <v>207796.0</v>
      </c>
      <c r="AL49" s="10" t="n">
        <v>50.0</v>
      </c>
      <c r="AM49" s="10" t="s">
        <f>AN49-AL49</f>
      </c>
      <c r="AN49" s="10" t="n">
        <v>630.0</v>
      </c>
      <c r="AO49" s="10" t="n">
        <v>5937.0</v>
      </c>
      <c r="AP49" s="10" t="s">
        <f>AO49+AN49+AK49+AF49+W49+S49</f>
      </c>
    </row>
    <row r="50">
      <c r="A50" s="9" t="s">
        <v>48</v>
      </c>
      <c r="B50" s="10" t="s">
        <v>48</v>
      </c>
      <c r="C50" s="10" t="s">
        <v>48</v>
      </c>
      <c r="D50" s="10" t="s">
        <v>48</v>
      </c>
      <c r="E50" s="10" t="s">
        <v>48</v>
      </c>
      <c r="F50" s="10" t="s">
        <v>48</v>
      </c>
      <c r="G50" s="10" t="s">
        <v>48</v>
      </c>
      <c r="H50" s="10" t="s">
        <v>48</v>
      </c>
      <c r="I50" s="10" t="s">
        <v>48</v>
      </c>
      <c r="J50" s="10" t="s">
        <v>48</v>
      </c>
      <c r="K50" s="10" t="s">
        <v>48</v>
      </c>
      <c r="L50" s="10" t="s">
        <v>48</v>
      </c>
      <c r="M50" s="10" t="s">
        <v>48</v>
      </c>
      <c r="N50" s="10" t="s">
        <v>48</v>
      </c>
      <c r="O50" s="10" t="s">
        <v>48</v>
      </c>
      <c r="P50" s="10" t="s">
        <v>48</v>
      </c>
      <c r="Q50" s="10" t="s">
        <v>48</v>
      </c>
      <c r="R50" s="10" t="s">
        <v>48</v>
      </c>
      <c r="S50" s="10" t="s">
        <v>48</v>
      </c>
      <c r="T50" s="10" t="s">
        <v>48</v>
      </c>
      <c r="U50" s="10" t="s">
        <v>48</v>
      </c>
      <c r="V50" s="10" t="s">
        <v>48</v>
      </c>
      <c r="W50" s="10" t="s">
        <v>48</v>
      </c>
      <c r="X50" s="10" t="s">
        <v>48</v>
      </c>
      <c r="Y50" s="10" t="s">
        <v>48</v>
      </c>
      <c r="Z50" s="10" t="s">
        <v>48</v>
      </c>
      <c r="AA50" s="10" t="s">
        <v>48</v>
      </c>
      <c r="AB50" s="10" t="s">
        <v>48</v>
      </c>
      <c r="AC50" s="10" t="s">
        <v>48</v>
      </c>
      <c r="AD50" s="10" t="s">
        <v>48</v>
      </c>
      <c r="AE50" s="10" t="s">
        <v>48</v>
      </c>
      <c r="AF50" s="10" t="s">
        <v>48</v>
      </c>
      <c r="AG50" s="10" t="s">
        <v>48</v>
      </c>
      <c r="AH50" s="10" t="s">
        <v>48</v>
      </c>
      <c r="AI50" s="10" t="s">
        <v>48</v>
      </c>
      <c r="AJ50" s="10" t="s">
        <v>48</v>
      </c>
      <c r="AK50" s="10" t="s">
        <v>48</v>
      </c>
      <c r="AL50" s="10" t="s">
        <v>48</v>
      </c>
      <c r="AM50" s="10" t="s">
        <v>48</v>
      </c>
      <c r="AN50" s="10" t="s">
        <v>48</v>
      </c>
      <c r="AO50" s="10" t="s">
        <v>48</v>
      </c>
      <c r="AP50" s="10" t="s">
        <v>48</v>
      </c>
    </row>
    <row r="52" ht="37.5" customHeight="true">
      <c r="A52" t="s" s="12">
        <v>95</v>
      </c>
    </row>
  </sheetData>
  <mergeCells count="3">
    <mergeCell ref="A2:A3"/>
    <mergeCell ref="AO2:AO3"/>
    <mergeCell ref="AP2:AP3"/>
    <mergeCell ref="A52:AP52"/>
  </mergeCells>
  <phoneticPr fontId="2" type="noConversion"/>
  <printOptions horizontalCentered="1"/>
  <pageMargins bottom="0.39370078740157483" footer="0.31496062992125984" header="0.31496062992125984" left="0.31496062992125984" right="0.27559055118110237" top="0.39370078740157483"/>
  <pageSetup orientation="landscape" paperSize="8" r:id="rId1" scale="54"/>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1</vt:i4>
      </vt:variant>
    </vt:vector>
  </HeadingPairs>
  <TitlesOfParts>
    <vt:vector baseType="lpstr" size="1">
      <vt:lpstr>歷年出國按目的地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2018-09-28T07:33:19Z</dcterms:modified>
</cp:coreProperties>
</file>